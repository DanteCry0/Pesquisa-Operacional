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E99D7C52-BE0A-4073-991A-AB80FC6B5089}" xr6:coauthVersionLast="36" xr6:coauthVersionMax="36" xr10:uidLastSave="{00000000-0000-0000-0000-000000000000}"/>
  <bookViews>
    <workbookView xWindow="0" yWindow="0" windowWidth="28800" windowHeight="12105" xr2:uid="{DE9075F5-B8F8-4415-82B8-3ED555B11A03}"/>
  </bookViews>
  <sheets>
    <sheet name="Ex 1" sheetId="1" r:id="rId1"/>
    <sheet name="Ex2" sheetId="2" r:id="rId2"/>
  </sheets>
  <definedNames>
    <definedName name="solver_adj" localSheetId="0" hidden="1">'Ex 1'!$B$2:$G$2</definedName>
    <definedName name="solver_adj" localSheetId="1" hidden="1">'Ex2'!$B$2:$J$2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'Ex 1'!$H$7:$H$11</definedName>
    <definedName name="solver_lhs1" localSheetId="1" hidden="1">'Ex2'!$K$7:$K$12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'Ex 1'!$H$4</definedName>
    <definedName name="solver_opt" localSheetId="1" hidden="1">'Ex2'!$B$4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hs1" localSheetId="0" hidden="1">'Ex 1'!$I$7:$I$11</definedName>
    <definedName name="solver_rhs1" localSheetId="1" hidden="1">'Ex2'!$L$7:$L$12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7" i="2"/>
  <c r="B4" i="2"/>
  <c r="H4" i="1"/>
  <c r="H11" i="1"/>
  <c r="H8" i="1"/>
  <c r="H9" i="1"/>
  <c r="H10" i="1"/>
  <c r="H7" i="1"/>
</calcChain>
</file>

<file path=xl/sharedStrings.xml><?xml version="1.0" encoding="utf-8"?>
<sst xmlns="http://schemas.openxmlformats.org/spreadsheetml/2006/main" count="55" uniqueCount="33">
  <si>
    <t>CUSTO</t>
  </si>
  <si>
    <t>x</t>
  </si>
  <si>
    <t>x11</t>
  </si>
  <si>
    <t>x12</t>
  </si>
  <si>
    <t>x13</t>
  </si>
  <si>
    <t>x21</t>
  </si>
  <si>
    <t>x22</t>
  </si>
  <si>
    <t>x23</t>
  </si>
  <si>
    <t>restrioções</t>
  </si>
  <si>
    <t>cap 1</t>
  </si>
  <si>
    <t>cap 2</t>
  </si>
  <si>
    <t>CD 1</t>
  </si>
  <si>
    <t>CD 2</t>
  </si>
  <si>
    <t>usado</t>
  </si>
  <si>
    <t>disponivel</t>
  </si>
  <si>
    <t>cd 3</t>
  </si>
  <si>
    <t>Coluna1</t>
  </si>
  <si>
    <t>Coluna2</t>
  </si>
  <si>
    <t>Função Objetivo</t>
  </si>
  <si>
    <t>RESTRIÇÕES</t>
  </si>
  <si>
    <t>X31</t>
  </si>
  <si>
    <t>x32</t>
  </si>
  <si>
    <t>x33</t>
  </si>
  <si>
    <t>custo</t>
  </si>
  <si>
    <t>função</t>
  </si>
  <si>
    <t>D1</t>
  </si>
  <si>
    <t>D2</t>
  </si>
  <si>
    <t>D3</t>
  </si>
  <si>
    <t>B1</t>
  </si>
  <si>
    <t>B2</t>
  </si>
  <si>
    <t>B3</t>
  </si>
  <si>
    <t>USADO</t>
  </si>
  <si>
    <t>DISPONIVEL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</si>
</sst>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75D2B-785D-4117-8831-8914E2038A49}" name="Tabela1" displayName="Tabela1" ref="A1:H4" totalsRowShown="0">
  <autoFilter ref="A1:H4" xr:uid="{6777FA66-3E46-47E7-96B1-0A5669DAF62F}"/>
  <tableColumns count="8">
    <tableColumn id="1" xr3:uid="{7B494DCE-BC87-42C1-B814-B731357099C8}" name="Coluna1"/>
    <tableColumn id="2" xr3:uid="{18367479-74EE-49A7-BDE6-629C7ECDE708}" name="x11"/>
    <tableColumn id="3" xr3:uid="{AE178E3A-6AE9-4211-A847-7897CA90F4D2}" name="x12"/>
    <tableColumn id="4" xr3:uid="{50A1E01E-B108-4E09-A32D-3C1F3498EE33}" name="x13"/>
    <tableColumn id="5" xr3:uid="{6E7887E4-CA14-45AF-945E-2C9B3067F788}" name="x21"/>
    <tableColumn id="6" xr3:uid="{57E7BB32-675E-4756-A78D-FAE65DD11007}" name="x22"/>
    <tableColumn id="7" xr3:uid="{89CB78CF-8EA5-45E5-8B41-3EA7D38FCAAB}" name="x23"/>
    <tableColumn id="8" xr3:uid="{5AD976DB-F454-4B51-B8A1-A5522F02A7CF}" name="Coluna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B4BC5F-6011-4A7D-9F03-8D15FD9095A5}" name="Tabela3" displayName="Tabela3" ref="A6:I11" totalsRowShown="0">
  <autoFilter ref="A6:I11" xr:uid="{11178CCF-0D26-4D94-9688-548C30918ABB}"/>
  <tableColumns count="9">
    <tableColumn id="1" xr3:uid="{F11713F9-11CF-4717-B710-E3A26A3088F9}" name="restrioções"/>
    <tableColumn id="2" xr3:uid="{9B6C0ED3-ACA8-41E1-BAA3-78F51A16CCA8}" name="x11"/>
    <tableColumn id="3" xr3:uid="{05F328BF-904E-4D78-97F0-F58D50ED3B25}" name="x12"/>
    <tableColumn id="4" xr3:uid="{6EF76E00-57A7-4316-B749-9EBF2F25E2DB}" name="x13"/>
    <tableColumn id="5" xr3:uid="{AF7EB71F-9DA1-465F-AC86-573AC69D9413}" name="x21"/>
    <tableColumn id="6" xr3:uid="{260B9E66-4CA4-49D3-8C92-1CBE12F47DDA}" name="x22"/>
    <tableColumn id="7" xr3:uid="{35E3A492-822C-43BB-834E-C19BA2251B3F}" name="x23"/>
    <tableColumn id="8" xr3:uid="{90DDB871-6181-4979-829B-963332E4E90B}" name="usado">
      <calculatedColumnFormula>SUMPRODUCT(B7:G7,$B$2:$G$2)</calculatedColumnFormula>
    </tableColumn>
    <tableColumn id="9" xr3:uid="{7D45E1E7-F425-460D-93FF-529D980A419F}" name="disponi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41A2DE-C93C-4ABC-A8BD-7FF6D167CB5D}" name="Tabela4" displayName="Tabela4" ref="A1:J4" totalsRowShown="0" headerRowDxfId="1">
  <autoFilter ref="A1:J4" xr:uid="{BE74B2B7-6379-48E2-8BC5-B1D74D225935}"/>
  <tableColumns count="10">
    <tableColumn id="1" xr3:uid="{A77841BA-D7CD-4983-8585-E8149E21A411}" name="Coluna1"/>
    <tableColumn id="2" xr3:uid="{A0D1766C-96C3-48F2-B660-5AF39FC9603B}" name="x11"/>
    <tableColumn id="3" xr3:uid="{7FF31712-B234-4A3F-B025-5201BCEB6D8E}" name="x12"/>
    <tableColumn id="4" xr3:uid="{7F460268-9664-47B2-81BD-0A3009F83963}" name="x13"/>
    <tableColumn id="5" xr3:uid="{2E0450E3-9808-4E02-A497-9350C7F7ED61}" name="x21"/>
    <tableColumn id="6" xr3:uid="{CEAB1B01-B699-44D6-B397-71C771798E0F}" name="x22"/>
    <tableColumn id="7" xr3:uid="{FC09B688-0A45-4F6F-8AE2-48FC243A7FFA}" name="x23"/>
    <tableColumn id="8" xr3:uid="{87A71876-FE6E-4B6A-9228-AB8D7EFB4BFC}" name="X31"/>
    <tableColumn id="9" xr3:uid="{332AEC9E-F31F-4FFB-917B-8B8B6D8C5903}" name="x32"/>
    <tableColumn id="10" xr3:uid="{6841B98C-C5CA-49E9-9259-A69D1860E007}" name="x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6B94D6-D3C9-4096-BEA2-375AEB30C113}" name="Tabela5" displayName="Tabela5" ref="A6:L12" totalsRowShown="0" headerRowDxfId="0">
  <autoFilter ref="A6:L12" xr:uid="{996849BB-B066-4A6D-9F13-BCEC35C6836D}"/>
  <tableColumns count="12">
    <tableColumn id="1" xr3:uid="{9DC5CEBB-6308-4640-B721-06590C9FD98E}" name="RESTRIÇÕES"/>
    <tableColumn id="2" xr3:uid="{609505CB-3C67-47CD-B68E-59FA32F8765F}" name="x11"/>
    <tableColumn id="3" xr3:uid="{94FC6FFB-340D-4AE0-943A-31539DFF60CB}" name="x12"/>
    <tableColumn id="4" xr3:uid="{11D98E2F-877E-4824-A841-E1DEF51F009D}" name="x13"/>
    <tableColumn id="5" xr3:uid="{99E74DE4-A633-4143-89A7-CA36C41605E8}" name="x21"/>
    <tableColumn id="6" xr3:uid="{E6CF7B29-4E39-4E63-8796-3EB89B09A12C}" name="x22"/>
    <tableColumn id="7" xr3:uid="{90E6752C-8C19-4662-8A90-A714A54BFFCB}" name="x23"/>
    <tableColumn id="8" xr3:uid="{2BAABE20-9904-449C-A87B-5A1A06F33E02}" name="X31"/>
    <tableColumn id="9" xr3:uid="{6F211DF6-4723-489E-B6CC-A8CE9DFCFDBB}" name="x32"/>
    <tableColumn id="10" xr3:uid="{61462865-AB7D-459A-9964-A936A08D3BC0}" name="x33"/>
    <tableColumn id="11" xr3:uid="{EC8BA602-9ACD-4FF7-A661-A0CC94DD1C9F}" name="USADO">
      <calculatedColumnFormula>SUMPRODUCT(B7:J7,$B$2:$J$2)</calculatedColumnFormula>
    </tableColumn>
    <tableColumn id="12" xr3:uid="{7CBF921B-7F04-4083-A998-F29B39B14C8A}" name="DISPONI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4640-A9E2-4817-B900-ACB088209580}">
  <dimension ref="A1:I11"/>
  <sheetViews>
    <sheetView tabSelected="1" workbookViewId="0">
      <selection activeCell="B1" sqref="B1:G1"/>
    </sheetView>
  </sheetViews>
  <sheetFormatPr defaultRowHeight="15" x14ac:dyDescent="0.25"/>
  <cols>
    <col min="1" max="1" width="13" customWidth="1"/>
    <col min="2" max="7" width="10.28515625" customWidth="1"/>
    <col min="9" max="9" width="12.42578125" customWidth="1"/>
  </cols>
  <sheetData>
    <row r="1" spans="1:9" x14ac:dyDescent="0.25">
      <c r="A1" t="s">
        <v>16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17</v>
      </c>
    </row>
    <row r="2" spans="1:9" x14ac:dyDescent="0.25">
      <c r="A2" t="s">
        <v>1</v>
      </c>
      <c r="B2" s="1">
        <v>0</v>
      </c>
      <c r="C2" s="1">
        <v>5</v>
      </c>
      <c r="D2" s="1">
        <v>10</v>
      </c>
      <c r="E2" s="1">
        <v>20</v>
      </c>
      <c r="F2" s="1">
        <v>5</v>
      </c>
      <c r="G2" s="1">
        <v>0</v>
      </c>
    </row>
    <row r="3" spans="1:9" x14ac:dyDescent="0.25">
      <c r="A3" t="s">
        <v>0</v>
      </c>
      <c r="B3">
        <v>10</v>
      </c>
      <c r="C3">
        <v>3</v>
      </c>
      <c r="D3">
        <v>5</v>
      </c>
      <c r="E3">
        <v>12</v>
      </c>
      <c r="F3">
        <v>7</v>
      </c>
      <c r="G3">
        <v>9</v>
      </c>
    </row>
    <row r="4" spans="1:9" x14ac:dyDescent="0.25">
      <c r="A4" t="s">
        <v>18</v>
      </c>
      <c r="H4">
        <f>SUMPRODUCT(B3:G3,B2:G2)</f>
        <v>340</v>
      </c>
    </row>
    <row r="6" spans="1:9" x14ac:dyDescent="0.25">
      <c r="A6" t="s">
        <v>8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13</v>
      </c>
      <c r="I6" t="s">
        <v>14</v>
      </c>
    </row>
    <row r="7" spans="1:9" x14ac:dyDescent="0.25">
      <c r="A7" t="s">
        <v>9</v>
      </c>
      <c r="B7">
        <v>1</v>
      </c>
      <c r="C7">
        <v>1</v>
      </c>
      <c r="D7">
        <v>1</v>
      </c>
      <c r="H7">
        <f>SUMPRODUCT(B7:G7,$B$2:$G$2)</f>
        <v>15</v>
      </c>
      <c r="I7">
        <v>15</v>
      </c>
    </row>
    <row r="8" spans="1:9" x14ac:dyDescent="0.25">
      <c r="A8" t="s">
        <v>10</v>
      </c>
      <c r="E8">
        <v>1</v>
      </c>
      <c r="F8">
        <v>1</v>
      </c>
      <c r="G8">
        <v>1</v>
      </c>
      <c r="H8">
        <f t="shared" ref="H8:H11" si="0">SUMPRODUCT(B8:G8,$B$2:$G$2)</f>
        <v>25</v>
      </c>
      <c r="I8">
        <v>25</v>
      </c>
    </row>
    <row r="9" spans="1:9" x14ac:dyDescent="0.25">
      <c r="A9" t="s">
        <v>11</v>
      </c>
      <c r="B9">
        <v>1</v>
      </c>
      <c r="E9">
        <v>1</v>
      </c>
      <c r="H9">
        <f t="shared" si="0"/>
        <v>20</v>
      </c>
      <c r="I9">
        <v>20</v>
      </c>
    </row>
    <row r="10" spans="1:9" x14ac:dyDescent="0.25">
      <c r="A10" t="s">
        <v>12</v>
      </c>
      <c r="C10">
        <v>1</v>
      </c>
      <c r="F10">
        <v>1</v>
      </c>
      <c r="H10">
        <f t="shared" si="0"/>
        <v>10</v>
      </c>
      <c r="I10">
        <v>10</v>
      </c>
    </row>
    <row r="11" spans="1:9" x14ac:dyDescent="0.25">
      <c r="A11" t="s">
        <v>15</v>
      </c>
      <c r="D11">
        <v>1</v>
      </c>
      <c r="G11">
        <v>1</v>
      </c>
      <c r="H11">
        <f t="shared" si="0"/>
        <v>10</v>
      </c>
      <c r="I11">
        <v>10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A59F-4004-442D-A909-BD412ADA6F83}">
  <dimension ref="A1:L12"/>
  <sheetViews>
    <sheetView workbookViewId="0">
      <selection activeCell="A9" sqref="A9"/>
    </sheetView>
  </sheetViews>
  <sheetFormatPr defaultRowHeight="15" x14ac:dyDescent="0.25"/>
  <cols>
    <col min="1" max="1" width="17.28515625" customWidth="1"/>
    <col min="11" max="11" width="9.5703125" customWidth="1"/>
    <col min="12" max="12" width="13.7109375" customWidth="1"/>
  </cols>
  <sheetData>
    <row r="1" spans="1:12" x14ac:dyDescent="0.25">
      <c r="A1" t="s">
        <v>16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5" t="s">
        <v>20</v>
      </c>
      <c r="I1" s="5" t="s">
        <v>21</v>
      </c>
      <c r="J1" s="5" t="s">
        <v>22</v>
      </c>
    </row>
    <row r="2" spans="1:12" x14ac:dyDescent="0.25">
      <c r="B2">
        <v>0</v>
      </c>
      <c r="C2">
        <v>0</v>
      </c>
      <c r="D2">
        <v>57</v>
      </c>
      <c r="E2">
        <v>41</v>
      </c>
      <c r="F2">
        <v>0</v>
      </c>
      <c r="G2">
        <v>35</v>
      </c>
      <c r="H2">
        <v>0</v>
      </c>
      <c r="I2">
        <v>80</v>
      </c>
      <c r="J2">
        <v>13</v>
      </c>
    </row>
    <row r="3" spans="1:12" x14ac:dyDescent="0.25">
      <c r="A3" t="s">
        <v>23</v>
      </c>
      <c r="B3">
        <v>7</v>
      </c>
      <c r="C3">
        <v>8</v>
      </c>
      <c r="D3">
        <v>4</v>
      </c>
      <c r="E3">
        <v>5</v>
      </c>
      <c r="F3">
        <v>6</v>
      </c>
      <c r="G3">
        <v>3</v>
      </c>
      <c r="H3">
        <v>6</v>
      </c>
      <c r="I3">
        <v>5</v>
      </c>
      <c r="J3">
        <v>4</v>
      </c>
    </row>
    <row r="4" spans="1:12" x14ac:dyDescent="0.25">
      <c r="A4" t="s">
        <v>24</v>
      </c>
      <c r="B4">
        <f>SUMPRODUCT(B3:J3,B2:J2)</f>
        <v>990</v>
      </c>
    </row>
    <row r="6" spans="1:12" x14ac:dyDescent="0.25">
      <c r="A6" t="s">
        <v>19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3" t="s">
        <v>20</v>
      </c>
      <c r="I6" s="3" t="s">
        <v>21</v>
      </c>
      <c r="J6" s="4" t="s">
        <v>22</v>
      </c>
      <c r="K6" s="5" t="s">
        <v>31</v>
      </c>
      <c r="L6" s="5" t="s">
        <v>32</v>
      </c>
    </row>
    <row r="7" spans="1:12" x14ac:dyDescent="0.25">
      <c r="A7" t="s">
        <v>25</v>
      </c>
      <c r="B7">
        <v>1</v>
      </c>
      <c r="C7">
        <v>1</v>
      </c>
      <c r="D7">
        <v>1</v>
      </c>
      <c r="K7">
        <f>SUMPRODUCT(B7:J7,$B$2:$J$2)</f>
        <v>57</v>
      </c>
      <c r="L7">
        <v>57</v>
      </c>
    </row>
    <row r="8" spans="1:12" x14ac:dyDescent="0.25">
      <c r="A8" t="s">
        <v>26</v>
      </c>
      <c r="E8">
        <v>1</v>
      </c>
      <c r="F8">
        <v>1</v>
      </c>
      <c r="G8">
        <v>1</v>
      </c>
      <c r="K8">
        <f t="shared" ref="K8:K12" si="0">SUMPRODUCT(B8:J8,$B$2:$J$2)</f>
        <v>76</v>
      </c>
      <c r="L8">
        <v>76</v>
      </c>
    </row>
    <row r="9" spans="1:12" x14ac:dyDescent="0.25">
      <c r="A9" t="s">
        <v>27</v>
      </c>
      <c r="H9">
        <v>1</v>
      </c>
      <c r="I9">
        <v>1</v>
      </c>
      <c r="J9">
        <v>1</v>
      </c>
      <c r="K9">
        <f t="shared" si="0"/>
        <v>93</v>
      </c>
      <c r="L9">
        <v>93</v>
      </c>
    </row>
    <row r="10" spans="1:12" x14ac:dyDescent="0.25">
      <c r="A10" t="s">
        <v>28</v>
      </c>
      <c r="B10">
        <v>1</v>
      </c>
      <c r="E10">
        <v>1</v>
      </c>
      <c r="H10">
        <v>1</v>
      </c>
      <c r="K10">
        <f t="shared" si="0"/>
        <v>41</v>
      </c>
      <c r="L10">
        <v>41</v>
      </c>
    </row>
    <row r="11" spans="1:12" x14ac:dyDescent="0.25">
      <c r="A11" t="s">
        <v>29</v>
      </c>
      <c r="C11">
        <v>1</v>
      </c>
      <c r="F11">
        <v>1</v>
      </c>
      <c r="I11">
        <v>1</v>
      </c>
      <c r="K11">
        <f t="shared" si="0"/>
        <v>80</v>
      </c>
      <c r="L11">
        <v>80</v>
      </c>
    </row>
    <row r="12" spans="1:12" x14ac:dyDescent="0.25">
      <c r="A12" t="s">
        <v>30</v>
      </c>
      <c r="D12">
        <v>1</v>
      </c>
      <c r="G12">
        <v>1</v>
      </c>
      <c r="J12">
        <v>1</v>
      </c>
      <c r="K12">
        <f t="shared" si="0"/>
        <v>105</v>
      </c>
      <c r="L12">
        <v>105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 1</vt:lpstr>
      <vt:lpstr>Ex2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2026-10-07T22:29:13Z</dcterms:created>
  <dcterms:modified xsi:type="dcterms:W3CDTF">2026-10-07T23:04:05Z</dcterms:modified>
</cp:coreProperties>
</file>