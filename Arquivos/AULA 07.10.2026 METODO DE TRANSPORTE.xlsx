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E77C242D-BCB4-45A0-98EA-CBE4A95952F6}" xr6:coauthVersionLast="36" xr6:coauthVersionMax="36" xr10:uidLastSave="{00000000-0000-0000-0000-000000000000}"/>
  <bookViews>
    <workbookView xWindow="0" yWindow="0" windowWidth="28800" windowHeight="12105" activeTab="2" xr2:uid="{DE9075F5-B8F8-4415-82B8-3ED555B11A03}"/>
  </bookViews>
  <sheets>
    <sheet name="Ex 1" sheetId="1" r:id="rId1"/>
    <sheet name="Ex2" sheetId="2" r:id="rId2"/>
    <sheet name="Ex3)" sheetId="3" r:id="rId3"/>
  </sheets>
  <definedNames>
    <definedName name="solver_adj" localSheetId="0" hidden="1">'Ex 1'!$B$2:$G$2</definedName>
    <definedName name="solver_adj" localSheetId="1" hidden="1">'Ex2'!$B$2:$J$2</definedName>
    <definedName name="solver_adj" localSheetId="2" hidden="1">'Ex3)'!$B$2:$P$2</definedName>
    <definedName name="solver_cvg" localSheetId="0" hidden="1">0.0001</definedName>
    <definedName name="solver_cvg" localSheetId="1" hidden="1">0.0001</definedName>
    <definedName name="solver_cvg" localSheetId="2" hidden="1">0.0001</definedName>
    <definedName name="solver_drv" localSheetId="0" hidden="1">1</definedName>
    <definedName name="solver_drv" localSheetId="1" hidden="1">1</definedName>
    <definedName name="solver_drv" localSheetId="2" hidden="1">1</definedName>
    <definedName name="solver_eng" localSheetId="0" hidden="1">2</definedName>
    <definedName name="solver_eng" localSheetId="1" hidden="1">2</definedName>
    <definedName name="solver_eng" localSheetId="2" hidden="1">2</definedName>
    <definedName name="solver_est" localSheetId="0" hidden="1">1</definedName>
    <definedName name="solver_est" localSheetId="1" hidden="1">1</definedName>
    <definedName name="solver_est" localSheetId="2" hidden="1">1</definedName>
    <definedName name="solver_itr" localSheetId="0" hidden="1">2147483647</definedName>
    <definedName name="solver_itr" localSheetId="1" hidden="1">2147483647</definedName>
    <definedName name="solver_itr" localSheetId="2" hidden="1">2147483647</definedName>
    <definedName name="solver_lhs1" localSheetId="0" hidden="1">'Ex 1'!$H$7:$H$11</definedName>
    <definedName name="solver_lhs1" localSheetId="1" hidden="1">'Ex2'!$K$7:$K$12</definedName>
    <definedName name="solver_lhs1" localSheetId="2" hidden="1">'Ex3)'!$Q$12:$Q$14</definedName>
    <definedName name="solver_lhs2" localSheetId="2" hidden="1">'Ex3)'!$Q$7:$Q$11</definedName>
    <definedName name="solver_mip" localSheetId="0" hidden="1">2147483647</definedName>
    <definedName name="solver_mip" localSheetId="1" hidden="1">2147483647</definedName>
    <definedName name="solver_mip" localSheetId="2" hidden="1">2147483647</definedName>
    <definedName name="solver_mni" localSheetId="0" hidden="1">30</definedName>
    <definedName name="solver_mni" localSheetId="1" hidden="1">30</definedName>
    <definedName name="solver_mni" localSheetId="2" hidden="1">30</definedName>
    <definedName name="solver_mrt" localSheetId="0" hidden="1">0.075</definedName>
    <definedName name="solver_mrt" localSheetId="1" hidden="1">0.075</definedName>
    <definedName name="solver_mrt" localSheetId="2" hidden="1">0.075</definedName>
    <definedName name="solver_msl" localSheetId="0" hidden="1">2</definedName>
    <definedName name="solver_msl" localSheetId="1" hidden="1">2</definedName>
    <definedName name="solver_msl" localSheetId="2" hidden="1">2</definedName>
    <definedName name="solver_neg" localSheetId="0" hidden="1">1</definedName>
    <definedName name="solver_neg" localSheetId="1" hidden="1">1</definedName>
    <definedName name="solver_neg" localSheetId="2" hidden="1">1</definedName>
    <definedName name="solver_nod" localSheetId="0" hidden="1">2147483647</definedName>
    <definedName name="solver_nod" localSheetId="1" hidden="1">2147483647</definedName>
    <definedName name="solver_nod" localSheetId="2" hidden="1">2147483647</definedName>
    <definedName name="solver_num" localSheetId="0" hidden="1">1</definedName>
    <definedName name="solver_num" localSheetId="1" hidden="1">1</definedName>
    <definedName name="solver_num" localSheetId="2" hidden="1">2</definedName>
    <definedName name="solver_nwt" localSheetId="0" hidden="1">1</definedName>
    <definedName name="solver_nwt" localSheetId="1" hidden="1">1</definedName>
    <definedName name="solver_nwt" localSheetId="2" hidden="1">1</definedName>
    <definedName name="solver_opt" localSheetId="0" hidden="1">'Ex 1'!$H$4</definedName>
    <definedName name="solver_opt" localSheetId="1" hidden="1">'Ex2'!$B$4</definedName>
    <definedName name="solver_opt" localSheetId="2" hidden="1">'Ex3)'!$B$4</definedName>
    <definedName name="solver_pre" localSheetId="0" hidden="1">0.000001</definedName>
    <definedName name="solver_pre" localSheetId="1" hidden="1">0.000001</definedName>
    <definedName name="solver_pre" localSheetId="2" hidden="1">0.000001</definedName>
    <definedName name="solver_rbv" localSheetId="0" hidden="1">1</definedName>
    <definedName name="solver_rbv" localSheetId="1" hidden="1">1</definedName>
    <definedName name="solver_rbv" localSheetId="2" hidden="1">1</definedName>
    <definedName name="solver_rel1" localSheetId="0" hidden="1">2</definedName>
    <definedName name="solver_rel1" localSheetId="1" hidden="1">2</definedName>
    <definedName name="solver_rel1" localSheetId="2" hidden="1">2</definedName>
    <definedName name="solver_rel2" localSheetId="2" hidden="1">1</definedName>
    <definedName name="solver_rhs1" localSheetId="0" hidden="1">'Ex 1'!$I$7:$I$11</definedName>
    <definedName name="solver_rhs1" localSheetId="1" hidden="1">'Ex2'!$L$7:$L$12</definedName>
    <definedName name="solver_rhs1" localSheetId="2" hidden="1">'Ex3)'!$R$12:$R$14</definedName>
    <definedName name="solver_rhs2" localSheetId="2" hidden="1">'Ex3)'!$R$7:$R$11</definedName>
    <definedName name="solver_rlx" localSheetId="0" hidden="1">2</definedName>
    <definedName name="solver_rlx" localSheetId="1" hidden="1">2</definedName>
    <definedName name="solver_rlx" localSheetId="2" hidden="1">2</definedName>
    <definedName name="solver_rsd" localSheetId="0" hidden="1">0</definedName>
    <definedName name="solver_rsd" localSheetId="1" hidden="1">0</definedName>
    <definedName name="solver_rsd" localSheetId="2" hidden="1">0</definedName>
    <definedName name="solver_scl" localSheetId="0" hidden="1">1</definedName>
    <definedName name="solver_scl" localSheetId="1" hidden="1">1</definedName>
    <definedName name="solver_scl" localSheetId="2" hidden="1">1</definedName>
    <definedName name="solver_sho" localSheetId="0" hidden="1">2</definedName>
    <definedName name="solver_sho" localSheetId="1" hidden="1">2</definedName>
    <definedName name="solver_sho" localSheetId="2" hidden="1">2</definedName>
    <definedName name="solver_ssz" localSheetId="0" hidden="1">100</definedName>
    <definedName name="solver_ssz" localSheetId="1" hidden="1">100</definedName>
    <definedName name="solver_ssz" localSheetId="2" hidden="1">100</definedName>
    <definedName name="solver_tim" localSheetId="0" hidden="1">2147483647</definedName>
    <definedName name="solver_tim" localSheetId="1" hidden="1">2147483647</definedName>
    <definedName name="solver_tim" localSheetId="2" hidden="1">2147483647</definedName>
    <definedName name="solver_tol" localSheetId="0" hidden="1">0.01</definedName>
    <definedName name="solver_tol" localSheetId="1" hidden="1">0.01</definedName>
    <definedName name="solver_tol" localSheetId="2" hidden="1">0.01</definedName>
    <definedName name="solver_typ" localSheetId="0" hidden="1">2</definedName>
    <definedName name="solver_typ" localSheetId="1" hidden="1">2</definedName>
    <definedName name="solver_typ" localSheetId="2" hidden="1">2</definedName>
    <definedName name="solver_val" localSheetId="0" hidden="1">0</definedName>
    <definedName name="solver_val" localSheetId="1" hidden="1">0</definedName>
    <definedName name="solver_val" localSheetId="2" hidden="1">0</definedName>
    <definedName name="solver_ver" localSheetId="0" hidden="1">3</definedName>
    <definedName name="solver_ver" localSheetId="1" hidden="1">3</definedName>
    <definedName name="solver_ver" localSheetId="2" hidden="1">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1" i="3" l="1"/>
  <c r="Q8" i="3"/>
  <c r="Q9" i="3"/>
  <c r="Q10" i="3"/>
  <c r="Q12" i="3"/>
  <c r="Q13" i="3"/>
  <c r="Q14" i="3"/>
  <c r="Q7" i="3"/>
  <c r="B4" i="3"/>
  <c r="K8" i="2" l="1"/>
  <c r="K9" i="2"/>
  <c r="K10" i="2"/>
  <c r="K11" i="2"/>
  <c r="K12" i="2"/>
  <c r="K7" i="2"/>
  <c r="B4" i="2"/>
  <c r="H4" i="1"/>
  <c r="H11" i="1"/>
  <c r="H8" i="1"/>
  <c r="H9" i="1"/>
  <c r="H10" i="1"/>
  <c r="H7" i="1"/>
</calcChain>
</file>

<file path=xl/sharedStrings.xml><?xml version="1.0" encoding="utf-8"?>
<sst xmlns="http://schemas.openxmlformats.org/spreadsheetml/2006/main" count="99" uniqueCount="47">
  <si>
    <t>CUSTO</t>
  </si>
  <si>
    <t>x</t>
  </si>
  <si>
    <t>x11</t>
  </si>
  <si>
    <t>x12</t>
  </si>
  <si>
    <t>x13</t>
  </si>
  <si>
    <t>x21</t>
  </si>
  <si>
    <t>x22</t>
  </si>
  <si>
    <t>x23</t>
  </si>
  <si>
    <t>restrioções</t>
  </si>
  <si>
    <t>cap 1</t>
  </si>
  <si>
    <t>cap 2</t>
  </si>
  <si>
    <t>CD 1</t>
  </si>
  <si>
    <t>CD 2</t>
  </si>
  <si>
    <t>usado</t>
  </si>
  <si>
    <t>disponivel</t>
  </si>
  <si>
    <t>cd 3</t>
  </si>
  <si>
    <t>Coluna1</t>
  </si>
  <si>
    <t>Coluna2</t>
  </si>
  <si>
    <t>Função Objetivo</t>
  </si>
  <si>
    <t>RESTRIÇÕES</t>
  </si>
  <si>
    <t>X31</t>
  </si>
  <si>
    <t>x32</t>
  </si>
  <si>
    <t>x33</t>
  </si>
  <si>
    <t>custo</t>
  </si>
  <si>
    <t>função</t>
  </si>
  <si>
    <t>D1</t>
  </si>
  <si>
    <t>D2</t>
  </si>
  <si>
    <t>D3</t>
  </si>
  <si>
    <t>B1</t>
  </si>
  <si>
    <t>B2</t>
  </si>
  <si>
    <t>B3</t>
  </si>
  <si>
    <t>USADO</t>
  </si>
  <si>
    <t>DISPONIVEL</t>
  </si>
  <si>
    <t>x41</t>
  </si>
  <si>
    <t>x42</t>
  </si>
  <si>
    <t>x43</t>
  </si>
  <si>
    <t>x51</t>
  </si>
  <si>
    <t>x52</t>
  </si>
  <si>
    <t>53</t>
  </si>
  <si>
    <t>f1</t>
  </si>
  <si>
    <t>f3</t>
  </si>
  <si>
    <t>f2</t>
  </si>
  <si>
    <t>f4</t>
  </si>
  <si>
    <t>f5</t>
  </si>
  <si>
    <t>CD1</t>
  </si>
  <si>
    <t>CD2</t>
  </si>
  <si>
    <t>CD3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</si>
</sst>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2">
    <xf numFmtId="0" fontId="0" fillId="0" borderId="0" xfId="0"/>
    <xf numFmtId="0" fontId="0" fillId="2" borderId="0" xfId="0" applyFill="1"/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0" xfId="0" applyFont="1" applyFill="1" applyBorder="1"/>
    <xf numFmtId="0" fontId="1" fillId="3" borderId="4" xfId="0" applyFont="1" applyFill="1" applyBorder="1"/>
    <xf numFmtId="0" fontId="0" fillId="4" borderId="2" xfId="0" applyFont="1" applyFill="1" applyBorder="1"/>
    <xf numFmtId="0" fontId="1" fillId="3" borderId="0" xfId="0" applyFont="1" applyFill="1"/>
    <xf numFmtId="0" fontId="1" fillId="3" borderId="5" xfId="0" applyFont="1" applyFill="1" applyBorder="1"/>
    <xf numFmtId="0" fontId="1" fillId="3" borderId="6" xfId="0" applyFont="1" applyFill="1" applyBorder="1"/>
    <xf numFmtId="44" fontId="0" fillId="0" borderId="0" xfId="1" applyFont="1"/>
  </cellXfs>
  <cellStyles count="2">
    <cellStyle name="Moeda" xfId="1" builtinId="4"/>
    <cellStyle name="Normal" xfId="0" builtinId="0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B75D2B-785D-4117-8831-8914E2038A49}" name="Tabela1" displayName="Tabela1" ref="A1:H4" totalsRowShown="0">
  <autoFilter ref="A1:H4" xr:uid="{6777FA66-3E46-47E7-96B1-0A5669DAF62F}"/>
  <tableColumns count="8">
    <tableColumn id="1" xr3:uid="{7B494DCE-BC87-42C1-B814-B731357099C8}" name="Coluna1"/>
    <tableColumn id="2" xr3:uid="{18367479-74EE-49A7-BDE6-629C7ECDE708}" name="x11"/>
    <tableColumn id="3" xr3:uid="{AE178E3A-6AE9-4211-A847-7897CA90F4D2}" name="x12"/>
    <tableColumn id="4" xr3:uid="{50A1E01E-B108-4E09-A32D-3C1F3498EE33}" name="x13"/>
    <tableColumn id="5" xr3:uid="{6E7887E4-CA14-45AF-945E-2C9B3067F788}" name="x21"/>
    <tableColumn id="6" xr3:uid="{57E7BB32-675E-4756-A78D-FAE65DD11007}" name="x22"/>
    <tableColumn id="7" xr3:uid="{89CB78CF-8EA5-45E5-8B41-3EA7D38FCAAB}" name="x23"/>
    <tableColumn id="8" xr3:uid="{5AD976DB-F454-4B51-B8A1-A5522F02A7CF}" name="Coluna2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B4BC5F-6011-4A7D-9F03-8D15FD9095A5}" name="Tabela3" displayName="Tabela3" ref="A6:I11" totalsRowShown="0">
  <autoFilter ref="A6:I11" xr:uid="{11178CCF-0D26-4D94-9688-548C30918ABB}"/>
  <tableColumns count="9">
    <tableColumn id="1" xr3:uid="{F11713F9-11CF-4717-B710-E3A26A3088F9}" name="restrioções"/>
    <tableColumn id="2" xr3:uid="{9B6C0ED3-ACA8-41E1-BAA3-78F51A16CCA8}" name="x11"/>
    <tableColumn id="3" xr3:uid="{05F328BF-904E-4D78-97F0-F58D50ED3B25}" name="x12"/>
    <tableColumn id="4" xr3:uid="{6EF76E00-57A7-4316-B749-9EBF2F25E2DB}" name="x13"/>
    <tableColumn id="5" xr3:uid="{AF7EB71F-9DA1-465F-AC86-573AC69D9413}" name="x21"/>
    <tableColumn id="6" xr3:uid="{260B9E66-4CA4-49D3-8C92-1CBE12F47DDA}" name="x22"/>
    <tableColumn id="7" xr3:uid="{35E3A492-822C-43BB-834E-C19BA2251B3F}" name="x23"/>
    <tableColumn id="8" xr3:uid="{90DDB871-6181-4979-829B-963332E4E90B}" name="usado">
      <calculatedColumnFormula>SUMPRODUCT(B7:G7,$B$2:$G$2)</calculatedColumnFormula>
    </tableColumn>
    <tableColumn id="9" xr3:uid="{7D45E1E7-F425-460D-93FF-529D980A419F}" name="disponive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41A2DE-C93C-4ABC-A8BD-7FF6D167CB5D}" name="Tabela4" displayName="Tabela4" ref="A1:J4" totalsRowShown="0" headerRowDxfId="3">
  <autoFilter ref="A1:J4" xr:uid="{BE74B2B7-6379-48E2-8BC5-B1D74D225935}"/>
  <tableColumns count="10">
    <tableColumn id="1" xr3:uid="{A77841BA-D7CD-4983-8585-E8149E21A411}" name="Coluna1"/>
    <tableColumn id="2" xr3:uid="{A0D1766C-96C3-48F2-B660-5AF39FC9603B}" name="x11"/>
    <tableColumn id="3" xr3:uid="{7FF31712-B234-4A3F-B025-5201BCEB6D8E}" name="x12"/>
    <tableColumn id="4" xr3:uid="{7F460268-9664-47B2-81BD-0A3009F83963}" name="x13"/>
    <tableColumn id="5" xr3:uid="{2E0450E3-9808-4E02-A497-9350C7F7ED61}" name="x21"/>
    <tableColumn id="6" xr3:uid="{CEAB1B01-B699-44D6-B397-71C771798E0F}" name="x22"/>
    <tableColumn id="7" xr3:uid="{FC09B688-0A45-4F6F-8AE2-48FC243A7FFA}" name="x23"/>
    <tableColumn id="8" xr3:uid="{87A71876-FE6E-4B6A-9228-AB8D7EFB4BFC}" name="X31"/>
    <tableColumn id="9" xr3:uid="{332AEC9E-F31F-4FFB-917B-8B8B6D8C5903}" name="x32"/>
    <tableColumn id="10" xr3:uid="{6841B98C-C5CA-49E9-9259-A69D1860E007}" name="x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66B94D6-D3C9-4096-BEA2-375AEB30C113}" name="Tabela5" displayName="Tabela5" ref="A6:L12" totalsRowShown="0" headerRowDxfId="2">
  <autoFilter ref="A6:L12" xr:uid="{996849BB-B066-4A6D-9F13-BCEC35C6836D}"/>
  <tableColumns count="12">
    <tableColumn id="1" xr3:uid="{9DC5CEBB-6308-4640-B721-06590C9FD98E}" name="RESTRIÇÕES"/>
    <tableColumn id="2" xr3:uid="{609505CB-3C67-47CD-B68E-59FA32F8765F}" name="x11"/>
    <tableColumn id="3" xr3:uid="{94FC6FFB-340D-4AE0-943A-31539DFF60CB}" name="x12"/>
    <tableColumn id="4" xr3:uid="{11D98E2F-877E-4824-A841-E1DEF51F009D}" name="x13"/>
    <tableColumn id="5" xr3:uid="{99E74DE4-A633-4143-89A7-CA36C41605E8}" name="x21"/>
    <tableColumn id="6" xr3:uid="{E6CF7B29-4E39-4E63-8796-3EB89B09A12C}" name="x22"/>
    <tableColumn id="7" xr3:uid="{90E6752C-8C19-4662-8A90-A714A54BFFCB}" name="x23"/>
    <tableColumn id="8" xr3:uid="{2BAABE20-9904-449C-A87B-5A1A06F33E02}" name="X31"/>
    <tableColumn id="9" xr3:uid="{6F211DF6-4723-489E-B6CC-A8CE9DFCFDBB}" name="x32"/>
    <tableColumn id="10" xr3:uid="{61462865-AB7D-459A-9964-A936A08D3BC0}" name="x33"/>
    <tableColumn id="11" xr3:uid="{EC8BA602-9ACD-4FF7-A661-A0CC94DD1C9F}" name="USADO">
      <calculatedColumnFormula>SUMPRODUCT(B7:J7,$B$2:$J$2)</calculatedColumnFormula>
    </tableColumn>
    <tableColumn id="12" xr3:uid="{7CBF921B-7F04-4083-A998-F29B39B14C8A}" name="DISPONIVE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EFF7A0-6B54-4F7D-A50D-5016190AB9E2}" name="Tabela43" displayName="Tabela43" ref="A1:P4" totalsRowShown="0" headerRowDxfId="1">
  <autoFilter ref="A1:P4" xr:uid="{BE74B2B7-6379-48E2-8BC5-B1D74D225935}"/>
  <tableColumns count="16">
    <tableColumn id="1" xr3:uid="{DF3F0ACA-F9B0-41BE-AB15-B849A3FC8C96}" name="Coluna1"/>
    <tableColumn id="2" xr3:uid="{F95D7EB9-39FA-46DA-8492-8B7172820C20}" name="x11"/>
    <tableColumn id="3" xr3:uid="{A1708E7D-383F-4297-874C-DDA6DE7F85D6}" name="x12"/>
    <tableColumn id="4" xr3:uid="{F8C9914D-563E-47D9-98A8-626F4C349A8C}" name="x13"/>
    <tableColumn id="5" xr3:uid="{47A0D3CD-39C0-4705-8F97-DE09A641542C}" name="x21"/>
    <tableColumn id="6" xr3:uid="{C6B40CCB-3C67-4CE3-9C17-FA05933C88AA}" name="x22"/>
    <tableColumn id="7" xr3:uid="{455A0651-8156-4579-AC6A-3901173392BE}" name="x23"/>
    <tableColumn id="8" xr3:uid="{F9502F70-4DEE-469C-9BD4-2697E596DFC5}" name="X31"/>
    <tableColumn id="9" xr3:uid="{AD75064D-AE96-4B79-95B3-AABDC694B6C2}" name="x32"/>
    <tableColumn id="10" xr3:uid="{3CEF5491-6BAE-426E-8E8E-8380D3C3E746}" name="x33"/>
    <tableColumn id="11" xr3:uid="{BFB92A00-2385-49BF-B6DA-CF9DF63F9C87}" name="x41"/>
    <tableColumn id="12" xr3:uid="{507B6289-5B5A-47C5-85AB-9D32C56301AE}" name="x42"/>
    <tableColumn id="13" xr3:uid="{C3C5CF84-675C-4795-91A3-CABE45AF7BA9}" name="x43"/>
    <tableColumn id="15" xr3:uid="{DDFEAC7B-6873-41A3-A7B9-AE440E753E23}" name="x51"/>
    <tableColumn id="16" xr3:uid="{10C35017-2893-41BE-ACEA-3B4043BBE712}" name="x52"/>
    <tableColumn id="17" xr3:uid="{EA0A6E3C-4EE5-42F9-8B10-8B10C430BE53}" name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C7E7F9E-BD40-47B4-BBCD-1DEB1F20DD95}" name="Tabela57" displayName="Tabela57" ref="A6:P14" totalsRowShown="0" headerRowDxfId="0">
  <autoFilter ref="A6:P14" xr:uid="{996849BB-B066-4A6D-9F13-BCEC35C6836D}"/>
  <tableColumns count="16">
    <tableColumn id="1" xr3:uid="{3198886F-B3D9-4AB5-972D-2B1B9A0DD5A3}" name="RESTRIÇÕES"/>
    <tableColumn id="2" xr3:uid="{B5F02E3A-39D5-4468-B9A3-9EECB2A597D8}" name="x11"/>
    <tableColumn id="3" xr3:uid="{04195727-8620-4B95-BD5A-B997E6F728B0}" name="x12"/>
    <tableColumn id="4" xr3:uid="{89B00FFB-CF3E-4982-BF3B-B7BF1EEEB93F}" name="x13"/>
    <tableColumn id="5" xr3:uid="{C56C3880-EC6C-4C47-88FC-2E6548B90508}" name="x21"/>
    <tableColumn id="6" xr3:uid="{7C69FFB2-4AE1-443A-B443-0ABC1A83298C}" name="x22"/>
    <tableColumn id="7" xr3:uid="{2B8E6F9A-872F-4AA9-9089-378FB093AE42}" name="x23"/>
    <tableColumn id="8" xr3:uid="{C06D9C45-B23D-43C1-A76C-34C598F24EA2}" name="X31"/>
    <tableColumn id="9" xr3:uid="{0FB539D3-1514-4D58-8116-8AF4925ACC29}" name="x32"/>
    <tableColumn id="10" xr3:uid="{3587D693-C964-471B-87FB-3C8FF82546AD}" name="x33"/>
    <tableColumn id="11" xr3:uid="{1B9C9C78-0365-4962-B04C-0C20996A24DD}" name="x41"/>
    <tableColumn id="12" xr3:uid="{C5A0A57D-80EA-4478-9B03-5517002F79FB}" name="x42"/>
    <tableColumn id="13" xr3:uid="{78F03F60-ABDB-4AF8-ABB6-C3B94033B7A8}" name="x43"/>
    <tableColumn id="14" xr3:uid="{F1A0F686-1A97-4AD5-86C0-C8894CAD1657}" name="x51"/>
    <tableColumn id="15" xr3:uid="{A310F55D-3799-4411-81C0-075956841F14}" name="x52"/>
    <tableColumn id="16" xr3:uid="{0F65534D-1C02-459F-A4AF-85A8EF178335}" name="5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E4640-A9E2-4817-B900-ACB088209580}">
  <dimension ref="A1:I11"/>
  <sheetViews>
    <sheetView workbookViewId="0">
      <selection activeCell="F10" sqref="F10"/>
    </sheetView>
  </sheetViews>
  <sheetFormatPr defaultRowHeight="15" x14ac:dyDescent="0.25"/>
  <cols>
    <col min="1" max="1" width="13" customWidth="1"/>
    <col min="2" max="7" width="10.28515625" customWidth="1"/>
    <col min="9" max="9" width="12.42578125" customWidth="1"/>
  </cols>
  <sheetData>
    <row r="1" spans="1:9" x14ac:dyDescent="0.25">
      <c r="A1" t="s">
        <v>16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17</v>
      </c>
    </row>
    <row r="2" spans="1:9" x14ac:dyDescent="0.25">
      <c r="A2" t="s">
        <v>1</v>
      </c>
      <c r="B2" s="1">
        <v>0</v>
      </c>
      <c r="C2" s="1">
        <v>5</v>
      </c>
      <c r="D2" s="1">
        <v>10</v>
      </c>
      <c r="E2" s="1">
        <v>20</v>
      </c>
      <c r="F2" s="1">
        <v>5</v>
      </c>
      <c r="G2" s="1">
        <v>0</v>
      </c>
    </row>
    <row r="3" spans="1:9" x14ac:dyDescent="0.25">
      <c r="A3" t="s">
        <v>0</v>
      </c>
      <c r="B3">
        <v>10</v>
      </c>
      <c r="C3">
        <v>3</v>
      </c>
      <c r="D3">
        <v>5</v>
      </c>
      <c r="E3">
        <v>12</v>
      </c>
      <c r="F3">
        <v>7</v>
      </c>
      <c r="G3">
        <v>9</v>
      </c>
    </row>
    <row r="4" spans="1:9" x14ac:dyDescent="0.25">
      <c r="A4" t="s">
        <v>18</v>
      </c>
      <c r="H4">
        <f>SUMPRODUCT(B3:G3,B2:G2)</f>
        <v>340</v>
      </c>
    </row>
    <row r="6" spans="1:9" x14ac:dyDescent="0.25">
      <c r="A6" t="s">
        <v>8</v>
      </c>
      <c r="B6" t="s">
        <v>2</v>
      </c>
      <c r="C6" t="s">
        <v>3</v>
      </c>
      <c r="D6" t="s">
        <v>4</v>
      </c>
      <c r="E6" t="s">
        <v>5</v>
      </c>
      <c r="F6" t="s">
        <v>6</v>
      </c>
      <c r="G6" t="s">
        <v>7</v>
      </c>
      <c r="H6" t="s">
        <v>13</v>
      </c>
      <c r="I6" t="s">
        <v>14</v>
      </c>
    </row>
    <row r="7" spans="1:9" x14ac:dyDescent="0.25">
      <c r="A7" t="s">
        <v>9</v>
      </c>
      <c r="B7">
        <v>1</v>
      </c>
      <c r="C7">
        <v>1</v>
      </c>
      <c r="D7">
        <v>1</v>
      </c>
      <c r="H7">
        <f>SUMPRODUCT(B7:G7,$B$2:$G$2)</f>
        <v>15</v>
      </c>
      <c r="I7">
        <v>15</v>
      </c>
    </row>
    <row r="8" spans="1:9" x14ac:dyDescent="0.25">
      <c r="A8" t="s">
        <v>10</v>
      </c>
      <c r="E8">
        <v>1</v>
      </c>
      <c r="F8">
        <v>1</v>
      </c>
      <c r="G8">
        <v>1</v>
      </c>
      <c r="H8">
        <f t="shared" ref="H8:H11" si="0">SUMPRODUCT(B8:G8,$B$2:$G$2)</f>
        <v>25</v>
      </c>
      <c r="I8">
        <v>25</v>
      </c>
    </row>
    <row r="9" spans="1:9" x14ac:dyDescent="0.25">
      <c r="A9" t="s">
        <v>11</v>
      </c>
      <c r="B9">
        <v>1</v>
      </c>
      <c r="E9">
        <v>1</v>
      </c>
      <c r="H9">
        <f t="shared" si="0"/>
        <v>20</v>
      </c>
      <c r="I9">
        <v>20</v>
      </c>
    </row>
    <row r="10" spans="1:9" x14ac:dyDescent="0.25">
      <c r="A10" t="s">
        <v>12</v>
      </c>
      <c r="C10">
        <v>1</v>
      </c>
      <c r="F10">
        <v>1</v>
      </c>
      <c r="H10">
        <f t="shared" si="0"/>
        <v>10</v>
      </c>
      <c r="I10">
        <v>10</v>
      </c>
    </row>
    <row r="11" spans="1:9" x14ac:dyDescent="0.25">
      <c r="A11" t="s">
        <v>15</v>
      </c>
      <c r="D11">
        <v>1</v>
      </c>
      <c r="G11">
        <v>1</v>
      </c>
      <c r="H11">
        <f t="shared" si="0"/>
        <v>10</v>
      </c>
      <c r="I11">
        <v>10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AA59F-4004-442D-A909-BD412ADA6F83}">
  <dimension ref="A1:L12"/>
  <sheetViews>
    <sheetView workbookViewId="0">
      <selection activeCell="J17" sqref="J17"/>
    </sheetView>
  </sheetViews>
  <sheetFormatPr defaultRowHeight="15" x14ac:dyDescent="0.25"/>
  <cols>
    <col min="1" max="1" width="17.28515625" customWidth="1"/>
    <col min="11" max="11" width="9.5703125" customWidth="1"/>
    <col min="12" max="12" width="13.7109375" customWidth="1"/>
  </cols>
  <sheetData>
    <row r="1" spans="1:12" x14ac:dyDescent="0.25">
      <c r="A1" t="s">
        <v>16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5" t="s">
        <v>20</v>
      </c>
      <c r="I1" s="5" t="s">
        <v>21</v>
      </c>
      <c r="J1" s="5" t="s">
        <v>22</v>
      </c>
    </row>
    <row r="2" spans="1:12" x14ac:dyDescent="0.25">
      <c r="B2">
        <v>0</v>
      </c>
      <c r="C2">
        <v>0</v>
      </c>
      <c r="D2">
        <v>57</v>
      </c>
      <c r="E2">
        <v>41</v>
      </c>
      <c r="F2">
        <v>0</v>
      </c>
      <c r="G2">
        <v>35</v>
      </c>
      <c r="H2">
        <v>0</v>
      </c>
      <c r="I2">
        <v>80</v>
      </c>
      <c r="J2">
        <v>13</v>
      </c>
    </row>
    <row r="3" spans="1:12" x14ac:dyDescent="0.25">
      <c r="A3" t="s">
        <v>23</v>
      </c>
      <c r="B3">
        <v>7</v>
      </c>
      <c r="C3">
        <v>8</v>
      </c>
      <c r="D3">
        <v>4</v>
      </c>
      <c r="E3">
        <v>5</v>
      </c>
      <c r="F3">
        <v>6</v>
      </c>
      <c r="G3">
        <v>3</v>
      </c>
      <c r="H3">
        <v>6</v>
      </c>
      <c r="I3">
        <v>5</v>
      </c>
      <c r="J3">
        <v>4</v>
      </c>
    </row>
    <row r="4" spans="1:12" x14ac:dyDescent="0.25">
      <c r="A4" t="s">
        <v>24</v>
      </c>
      <c r="B4">
        <f>SUMPRODUCT(B3:J3,B2:J2)</f>
        <v>990</v>
      </c>
    </row>
    <row r="6" spans="1:12" x14ac:dyDescent="0.25">
      <c r="A6" t="s">
        <v>19</v>
      </c>
      <c r="B6" s="6" t="s">
        <v>2</v>
      </c>
      <c r="C6" s="6" t="s">
        <v>3</v>
      </c>
      <c r="D6" s="6" t="s">
        <v>4</v>
      </c>
      <c r="E6" s="6" t="s">
        <v>5</v>
      </c>
      <c r="F6" s="6" t="s">
        <v>6</v>
      </c>
      <c r="G6" s="6" t="s">
        <v>7</v>
      </c>
      <c r="H6" s="3" t="s">
        <v>20</v>
      </c>
      <c r="I6" s="3" t="s">
        <v>21</v>
      </c>
      <c r="J6" s="4" t="s">
        <v>22</v>
      </c>
      <c r="K6" s="5" t="s">
        <v>31</v>
      </c>
      <c r="L6" s="5" t="s">
        <v>32</v>
      </c>
    </row>
    <row r="7" spans="1:12" x14ac:dyDescent="0.25">
      <c r="A7" t="s">
        <v>25</v>
      </c>
      <c r="B7">
        <v>1</v>
      </c>
      <c r="C7">
        <v>1</v>
      </c>
      <c r="D7">
        <v>1</v>
      </c>
      <c r="K7">
        <f>SUMPRODUCT(B7:J7,$B$2:$J$2)</f>
        <v>57</v>
      </c>
      <c r="L7">
        <v>57</v>
      </c>
    </row>
    <row r="8" spans="1:12" x14ac:dyDescent="0.25">
      <c r="A8" t="s">
        <v>26</v>
      </c>
      <c r="E8">
        <v>1</v>
      </c>
      <c r="F8">
        <v>1</v>
      </c>
      <c r="G8">
        <v>1</v>
      </c>
      <c r="K8">
        <f t="shared" ref="K8:K12" si="0">SUMPRODUCT(B8:J8,$B$2:$J$2)</f>
        <v>76</v>
      </c>
      <c r="L8">
        <v>76</v>
      </c>
    </row>
    <row r="9" spans="1:12" x14ac:dyDescent="0.25">
      <c r="A9" t="s">
        <v>27</v>
      </c>
      <c r="H9">
        <v>1</v>
      </c>
      <c r="I9">
        <v>1</v>
      </c>
      <c r="J9">
        <v>1</v>
      </c>
      <c r="K9">
        <f t="shared" si="0"/>
        <v>93</v>
      </c>
      <c r="L9">
        <v>93</v>
      </c>
    </row>
    <row r="10" spans="1:12" x14ac:dyDescent="0.25">
      <c r="A10" t="s">
        <v>28</v>
      </c>
      <c r="B10">
        <v>1</v>
      </c>
      <c r="E10">
        <v>1</v>
      </c>
      <c r="H10">
        <v>1</v>
      </c>
      <c r="K10">
        <f t="shared" si="0"/>
        <v>41</v>
      </c>
      <c r="L10">
        <v>41</v>
      </c>
    </row>
    <row r="11" spans="1:12" x14ac:dyDescent="0.25">
      <c r="A11" t="s">
        <v>29</v>
      </c>
      <c r="C11">
        <v>1</v>
      </c>
      <c r="F11">
        <v>1</v>
      </c>
      <c r="I11">
        <v>1</v>
      </c>
      <c r="K11">
        <f t="shared" si="0"/>
        <v>80</v>
      </c>
      <c r="L11">
        <v>80</v>
      </c>
    </row>
    <row r="12" spans="1:12" x14ac:dyDescent="0.25">
      <c r="A12" t="s">
        <v>30</v>
      </c>
      <c r="D12">
        <v>1</v>
      </c>
      <c r="G12">
        <v>1</v>
      </c>
      <c r="J12">
        <v>1</v>
      </c>
      <c r="K12">
        <f t="shared" si="0"/>
        <v>105</v>
      </c>
      <c r="L12">
        <v>105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C3257-9A44-4577-A827-8399798A8DA3}">
  <dimension ref="A1:R14"/>
  <sheetViews>
    <sheetView tabSelected="1" workbookViewId="0">
      <selection activeCell="B4" sqref="B4"/>
    </sheetView>
  </sheetViews>
  <sheetFormatPr defaultRowHeight="15" x14ac:dyDescent="0.25"/>
  <cols>
    <col min="1" max="1" width="17.28515625" customWidth="1"/>
    <col min="2" max="2" width="14.28515625" bestFit="1" customWidth="1"/>
    <col min="11" max="11" width="9.5703125" customWidth="1"/>
    <col min="12" max="12" width="13.7109375" customWidth="1"/>
    <col min="18" max="18" width="13.7109375" customWidth="1"/>
  </cols>
  <sheetData>
    <row r="1" spans="1:18" x14ac:dyDescent="0.25">
      <c r="A1" t="s">
        <v>16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5" t="s">
        <v>20</v>
      </c>
      <c r="I1" s="5" t="s">
        <v>21</v>
      </c>
      <c r="J1" s="5" t="s">
        <v>22</v>
      </c>
      <c r="K1" s="8" t="s">
        <v>33</v>
      </c>
      <c r="L1" s="8" t="s">
        <v>34</v>
      </c>
      <c r="M1" s="8" t="s">
        <v>35</v>
      </c>
      <c r="N1" s="8" t="s">
        <v>36</v>
      </c>
      <c r="O1" s="8" t="s">
        <v>37</v>
      </c>
      <c r="P1" s="8" t="s">
        <v>38</v>
      </c>
    </row>
    <row r="2" spans="1:18" x14ac:dyDescent="0.25">
      <c r="B2">
        <v>0</v>
      </c>
      <c r="C2">
        <v>0</v>
      </c>
      <c r="D2">
        <v>1000</v>
      </c>
      <c r="E2">
        <v>0</v>
      </c>
      <c r="F2">
        <v>0</v>
      </c>
      <c r="G2">
        <v>3000</v>
      </c>
      <c r="H2">
        <v>0</v>
      </c>
      <c r="I2">
        <v>0</v>
      </c>
      <c r="J2">
        <v>0</v>
      </c>
      <c r="K2">
        <v>3000</v>
      </c>
      <c r="L2">
        <v>0</v>
      </c>
      <c r="M2">
        <v>0</v>
      </c>
      <c r="N2">
        <v>2000</v>
      </c>
      <c r="O2">
        <v>3000</v>
      </c>
      <c r="P2">
        <v>0</v>
      </c>
    </row>
    <row r="3" spans="1:18" x14ac:dyDescent="0.25">
      <c r="A3" t="s">
        <v>23</v>
      </c>
      <c r="B3">
        <v>90</v>
      </c>
      <c r="C3">
        <v>62</v>
      </c>
      <c r="D3">
        <v>76</v>
      </c>
      <c r="E3">
        <v>82</v>
      </c>
      <c r="F3">
        <v>58</v>
      </c>
      <c r="G3">
        <v>70</v>
      </c>
      <c r="H3">
        <v>92</v>
      </c>
      <c r="I3">
        <v>64</v>
      </c>
      <c r="J3">
        <v>80</v>
      </c>
      <c r="K3">
        <v>84</v>
      </c>
      <c r="L3">
        <v>56</v>
      </c>
      <c r="N3">
        <v>86</v>
      </c>
      <c r="O3">
        <v>58</v>
      </c>
    </row>
    <row r="4" spans="1:18" x14ac:dyDescent="0.25">
      <c r="A4" t="s">
        <v>24</v>
      </c>
      <c r="B4" s="11">
        <f>SUMPRODUCT(B3:P3,B2:P2)</f>
        <v>884000</v>
      </c>
    </row>
    <row r="6" spans="1:18" x14ac:dyDescent="0.25">
      <c r="A6" t="s">
        <v>19</v>
      </c>
      <c r="B6" s="2" t="s">
        <v>2</v>
      </c>
      <c r="C6" s="2" t="s">
        <v>3</v>
      </c>
      <c r="D6" s="2" t="s">
        <v>4</v>
      </c>
      <c r="E6" s="2" t="s">
        <v>5</v>
      </c>
      <c r="F6" s="2" t="s">
        <v>6</v>
      </c>
      <c r="G6" s="2" t="s">
        <v>7</v>
      </c>
      <c r="H6" s="5" t="s">
        <v>20</v>
      </c>
      <c r="I6" s="5" t="s">
        <v>21</v>
      </c>
      <c r="J6" s="5" t="s">
        <v>22</v>
      </c>
      <c r="K6" s="8" t="s">
        <v>33</v>
      </c>
      <c r="L6" s="8" t="s">
        <v>34</v>
      </c>
      <c r="M6" s="9" t="s">
        <v>35</v>
      </c>
      <c r="N6" s="5" t="s">
        <v>36</v>
      </c>
      <c r="O6" s="5" t="s">
        <v>37</v>
      </c>
      <c r="P6" s="10" t="s">
        <v>38</v>
      </c>
      <c r="Q6" s="3" t="s">
        <v>31</v>
      </c>
      <c r="R6" s="4" t="s">
        <v>32</v>
      </c>
    </row>
    <row r="7" spans="1:18" x14ac:dyDescent="0.25">
      <c r="A7" t="s">
        <v>39</v>
      </c>
      <c r="B7">
        <v>1</v>
      </c>
      <c r="C7">
        <v>1</v>
      </c>
      <c r="D7">
        <v>1</v>
      </c>
      <c r="Q7" s="7">
        <f>SUMPRODUCT(B7:P7,$B$2:$P$2)</f>
        <v>1000</v>
      </c>
      <c r="R7">
        <v>2000</v>
      </c>
    </row>
    <row r="8" spans="1:18" x14ac:dyDescent="0.25">
      <c r="A8" t="s">
        <v>41</v>
      </c>
      <c r="E8">
        <v>1</v>
      </c>
      <c r="F8">
        <v>1</v>
      </c>
      <c r="G8">
        <v>1</v>
      </c>
      <c r="Q8" s="7">
        <f t="shared" ref="Q8:Q14" si="0">SUMPRODUCT(B8:P8,$B$2:$P$2)</f>
        <v>3000</v>
      </c>
      <c r="R8">
        <v>3000</v>
      </c>
    </row>
    <row r="9" spans="1:18" x14ac:dyDescent="0.25">
      <c r="A9" t="s">
        <v>40</v>
      </c>
      <c r="H9">
        <v>1</v>
      </c>
      <c r="I9">
        <v>1</v>
      </c>
      <c r="J9">
        <v>1</v>
      </c>
      <c r="Q9" s="7">
        <f t="shared" si="0"/>
        <v>0</v>
      </c>
      <c r="R9">
        <v>2000</v>
      </c>
    </row>
    <row r="10" spans="1:18" x14ac:dyDescent="0.25">
      <c r="A10" t="s">
        <v>42</v>
      </c>
      <c r="K10">
        <v>1</v>
      </c>
      <c r="L10">
        <v>1</v>
      </c>
      <c r="M10">
        <v>1</v>
      </c>
      <c r="Q10" s="7">
        <f t="shared" si="0"/>
        <v>3000</v>
      </c>
      <c r="R10">
        <v>3000</v>
      </c>
    </row>
    <row r="11" spans="1:18" x14ac:dyDescent="0.25">
      <c r="A11" t="s">
        <v>43</v>
      </c>
      <c r="N11">
        <v>1</v>
      </c>
      <c r="O11">
        <v>1</v>
      </c>
      <c r="P11">
        <v>1</v>
      </c>
      <c r="Q11" s="7">
        <f>SUMPRODUCT(B11:P11,$B$2:$P$2)</f>
        <v>5000</v>
      </c>
      <c r="R11">
        <v>5000</v>
      </c>
    </row>
    <row r="12" spans="1:18" x14ac:dyDescent="0.25">
      <c r="A12" t="s">
        <v>44</v>
      </c>
      <c r="B12">
        <v>1</v>
      </c>
      <c r="E12">
        <v>1</v>
      </c>
      <c r="H12">
        <v>1</v>
      </c>
      <c r="K12">
        <v>1</v>
      </c>
      <c r="N12">
        <v>1</v>
      </c>
      <c r="Q12" s="7">
        <f t="shared" si="0"/>
        <v>5000</v>
      </c>
      <c r="R12">
        <v>5000</v>
      </c>
    </row>
    <row r="13" spans="1:18" x14ac:dyDescent="0.25">
      <c r="A13" t="s">
        <v>45</v>
      </c>
      <c r="C13">
        <v>1</v>
      </c>
      <c r="F13">
        <v>1</v>
      </c>
      <c r="I13">
        <v>1</v>
      </c>
      <c r="L13">
        <v>1</v>
      </c>
      <c r="O13">
        <v>1</v>
      </c>
      <c r="Q13" s="7">
        <f t="shared" si="0"/>
        <v>3000</v>
      </c>
      <c r="R13">
        <v>3000</v>
      </c>
    </row>
    <row r="14" spans="1:18" x14ac:dyDescent="0.25">
      <c r="A14" t="s">
        <v>46</v>
      </c>
      <c r="D14">
        <v>1</v>
      </c>
      <c r="G14">
        <v>1</v>
      </c>
      <c r="J14">
        <v>1</v>
      </c>
      <c r="Q14" s="7">
        <f t="shared" si="0"/>
        <v>4000</v>
      </c>
      <c r="R14">
        <v>4000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Ex 1</vt:lpstr>
      <vt:lpstr>Ex2</vt:lpstr>
      <vt:lpstr>Ex3)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2026-10-07T22:29:13Z</dcterms:created>
  <dcterms:modified xsi:type="dcterms:W3CDTF">2026-10-08T01:01:39Z</dcterms:modified>
</cp:coreProperties>
</file>