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06C00BFB-07D3-416F-8A38-1B8A736B5DA1}" xr6:coauthVersionLast="36" xr6:coauthVersionMax="36" xr10:uidLastSave="{00000000-0000-0000-0000-000000000000}"/>
  <bookViews>
    <workbookView xWindow="0" yWindow="0" windowWidth="28800" windowHeight="12105" xr2:uid="{EA38EC23-DA65-4B16-9E4F-B9C9E634CB0B}"/>
  </bookViews>
  <sheets>
    <sheet name="Planilha1 (2)" sheetId="3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3" l="1"/>
  <c r="M2" i="3"/>
  <c r="L2" i="3"/>
  <c r="L3" i="3"/>
  <c r="K2" i="3"/>
  <c r="K3" i="3"/>
  <c r="J2" i="3"/>
  <c r="J3" i="3"/>
  <c r="I2" i="3"/>
  <c r="I3" i="3"/>
  <c r="D7" i="3"/>
  <c r="D11" i="3"/>
  <c r="D9" i="3"/>
  <c r="D12" i="3"/>
  <c r="D10" i="3"/>
  <c r="D8" i="3"/>
  <c r="D2" i="3"/>
  <c r="K2" i="1"/>
  <c r="K3" i="1"/>
  <c r="K4" i="1"/>
  <c r="K6" i="1"/>
  <c r="D2" i="1"/>
  <c r="D10" i="1"/>
  <c r="D8" i="1"/>
  <c r="I6" i="1"/>
  <c r="J6" i="1"/>
  <c r="G5" i="1"/>
  <c r="J5" i="1" s="1"/>
  <c r="I5" i="1"/>
  <c r="H4" i="1"/>
  <c r="J4" i="1" s="1"/>
  <c r="I4" i="1"/>
  <c r="I3" i="1"/>
  <c r="J3" i="1"/>
  <c r="J2" i="1"/>
  <c r="I2" i="1"/>
  <c r="D9" i="1"/>
  <c r="D7" i="1"/>
  <c r="K5" i="1" l="1"/>
</calcChain>
</file>

<file path=xl/sharedStrings.xml><?xml version="1.0" encoding="utf-8"?>
<sst xmlns="http://schemas.openxmlformats.org/spreadsheetml/2006/main" count="47" uniqueCount="26">
  <si>
    <t>R1</t>
  </si>
  <si>
    <t>R2</t>
  </si>
  <si>
    <t>RESTRIÇÕES</t>
  </si>
  <si>
    <t>R1:</t>
  </si>
  <si>
    <t>R2:</t>
  </si>
  <si>
    <t xml:space="preserve">USADO </t>
  </si>
  <si>
    <t>DISPONIVEL</t>
  </si>
  <si>
    <t>LUCRO TOTAL</t>
  </si>
  <si>
    <t>A</t>
  </si>
  <si>
    <t>B</t>
  </si>
  <si>
    <t>Qtde. Vendida</t>
  </si>
  <si>
    <t>Lucro unitario</t>
  </si>
  <si>
    <t>Dados</t>
  </si>
  <si>
    <t>Coluna1</t>
  </si>
  <si>
    <t>X</t>
  </si>
  <si>
    <t>Y</t>
  </si>
  <si>
    <t>X= SEMENTE</t>
  </si>
  <si>
    <t>Y= GRÃO</t>
  </si>
  <si>
    <t>R1-CAPACIDADE KG:</t>
  </si>
  <si>
    <t>R2 -CAPACIDADE VOLUME</t>
  </si>
  <si>
    <t>R3- TOTAL SEMENTES</t>
  </si>
  <si>
    <t>R4- TOTAL DE GRÃOS</t>
  </si>
  <si>
    <t>R3</t>
  </si>
  <si>
    <t>R4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</si>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</sst>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  <bgColor theme="5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3" borderId="1" xfId="0" applyFont="1" applyFill="1" applyBorder="1"/>
    <xf numFmtId="165" fontId="0" fillId="0" borderId="0" xfId="0" applyNumberFormat="1"/>
    <xf numFmtId="165" fontId="0" fillId="0" borderId="1" xfId="0" applyNumberFormat="1" applyFont="1" applyBorder="1"/>
    <xf numFmtId="0" fontId="0" fillId="0" borderId="0" xfId="0" applyNumberFormat="1"/>
    <xf numFmtId="165" fontId="0" fillId="4" borderId="0" xfId="0" applyNumberFormat="1" applyFill="1"/>
    <xf numFmtId="3" fontId="0" fillId="0" borderId="0" xfId="0" applyNumberFormat="1"/>
    <xf numFmtId="165" fontId="0" fillId="4" borderId="1" xfId="0" applyNumberFormat="1" applyFont="1" applyFill="1" applyBorder="1"/>
    <xf numFmtId="165" fontId="0" fillId="0" borderId="2" xfId="0" applyNumberFormat="1" applyFont="1" applyBorder="1"/>
    <xf numFmtId="0" fontId="1" fillId="2" borderId="0" xfId="1" applyNumberFormat="1"/>
    <xf numFmtId="3" fontId="1" fillId="2" borderId="0" xfId="1" applyNumberFormat="1"/>
    <xf numFmtId="0" fontId="1" fillId="2" borderId="0" xfId="1"/>
  </cellXfs>
  <cellStyles count="2">
    <cellStyle name="Bom" xfId="1" builtinId="26"/>
    <cellStyle name="Normal" xfId="0" builtinId="0"/>
  </cellStyles>
  <dxfs count="7"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CAMINHÕES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'Planilha1 (2)'!$B$7:$B$12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160</c:v>
                </c:pt>
                <c:pt idx="2" formatCode="General">
                  <c:v>0</c:v>
                </c:pt>
                <c:pt idx="3">
                  <c:v>175</c:v>
                </c:pt>
                <c:pt idx="4">
                  <c:v>100</c:v>
                </c:pt>
                <c:pt idx="5">
                  <c:v>0</c:v>
                </c:pt>
              </c:numCache>
            </c:numRef>
          </c:xVal>
          <c:yVal>
            <c:numRef>
              <c:f>'Planilha1 (2)'!$C$7:$C$12</c:f>
              <c:numCache>
                <c:formatCode>#,##0</c:formatCode>
                <c:ptCount val="6"/>
                <c:pt idx="0">
                  <c:v>160</c:v>
                </c:pt>
                <c:pt idx="1">
                  <c:v>0</c:v>
                </c:pt>
                <c:pt idx="2" formatCode="General">
                  <c:v>350</c:v>
                </c:pt>
                <c:pt idx="3" formatCode="General">
                  <c:v>0</c:v>
                </c:pt>
                <c:pt idx="4" formatCode="General">
                  <c:v>0</c:v>
                </c:pt>
                <c:pt idx="5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2-485A-A83C-6541E2509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30191"/>
        <c:axId val="1714851679"/>
      </c:scatterChart>
      <c:valAx>
        <c:axId val="159903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851679"/>
        <c:crosses val="autoZero"/>
        <c:crossBetween val="midCat"/>
        <c:majorUnit val="5"/>
      </c:valAx>
      <c:valAx>
        <c:axId val="17148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0301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Planilha1!$G$2:$G$5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7.5</c:v>
                </c:pt>
              </c:numCache>
            </c:numRef>
          </c:xVal>
          <c:yVal>
            <c:numRef>
              <c:f>Planilha1!$H$2:$H$5</c:f>
              <c:numCache>
                <c:formatCode>General</c:formatCode>
                <c:ptCount val="4"/>
                <c:pt idx="0">
                  <c:v>7.5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2-4C01-A35B-97D7F3577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949231"/>
        <c:axId val="1714834207"/>
      </c:scatterChart>
      <c:valAx>
        <c:axId val="15889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834207"/>
        <c:crosses val="autoZero"/>
        <c:crossBetween val="midCat"/>
        <c:majorUnit val="1"/>
      </c:valAx>
      <c:valAx>
        <c:axId val="17148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89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144555</xdr:colOff>
      <xdr:row>7</xdr:row>
      <xdr:rowOff>113179</xdr:rowOff>
    </xdr:from>
    <xdr:to>
      <xdr:col>22</xdr:col>
      <xdr:colOff>417979</xdr:colOff>
      <xdr:row>42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F6AF01-2648-4B0E-A595-88431F900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141681</xdr:colOff>
      <xdr:row>32</xdr:row>
      <xdr:rowOff>165287</xdr:rowOff>
    </xdr:from>
    <xdr:to>
      <xdr:col>13</xdr:col>
      <xdr:colOff>150936</xdr:colOff>
      <xdr:row>37</xdr:row>
      <xdr:rowOff>67356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A776960-8124-4CE7-B34A-821A1948C9B1}"/>
            </a:ext>
          </a:extLst>
        </xdr:cNvPr>
        <xdr:cNvSpPr/>
      </xdr:nvSpPr>
      <xdr:spPr>
        <a:xfrm>
          <a:off x="6294831" y="6261287"/>
          <a:ext cx="4085955" cy="854569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123825</xdr:colOff>
      <xdr:row>34</xdr:row>
      <xdr:rowOff>72471</xdr:rowOff>
    </xdr:from>
    <xdr:to>
      <xdr:col>15</xdr:col>
      <xdr:colOff>33130</xdr:colOff>
      <xdr:row>39</xdr:row>
      <xdr:rowOff>94008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C08451E-4141-4D55-9DF0-1959B5A0B3BC}"/>
            </a:ext>
          </a:extLst>
        </xdr:cNvPr>
        <xdr:cNvSpPr/>
      </xdr:nvSpPr>
      <xdr:spPr>
        <a:xfrm>
          <a:off x="6276975" y="6549471"/>
          <a:ext cx="5205205" cy="974037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0.06031</cdr:x>
      <cdr:y>0.7216</cdr:y>
    </cdr:from>
    <cdr:to>
      <cdr:x>0.98187</cdr:x>
      <cdr:y>0.73009</cdr:y>
    </cdr:to>
    <cdr:cxnSp macro="">
      <cdr:nvCxnSpPr>
        <cdr:cNvPr id="14" name="Conector reto 13">
          <a:extLst xmlns:a="http://schemas.openxmlformats.org/drawingml/2006/main">
            <a:ext uri="{FF2B5EF4-FFF2-40B4-BE49-F238E27FC236}">
              <a16:creationId xmlns:a16="http://schemas.microsoft.com/office/drawing/2014/main" id="{D47B5B5F-C29E-4BE1-8BE5-22419ADCE4D5}"/>
            </a:ext>
          </a:extLst>
        </cdr:cNvPr>
        <cdr:cNvCxnSpPr/>
      </cdr:nvCxnSpPr>
      <cdr:spPr>
        <a:xfrm xmlns:a="http://schemas.openxmlformats.org/drawingml/2006/main">
          <a:off x="629981" y="4802352"/>
          <a:ext cx="9626764" cy="5651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0.5572</cdr:x>
      <cdr:y>0.05782</cdr:y>
    </cdr:from>
    <cdr:to>
      <cdr:x>0.5572</cdr:x>
      <cdr:y>0.9229</cdr:y>
    </cdr:to>
    <cdr:cxnSp macro="">
      <cdr:nvCxnSpPr>
        <cdr:cNvPr id="16" name="Conector reto 15">
          <a:extLst xmlns:a="http://schemas.openxmlformats.org/drawingml/2006/main">
            <a:ext uri="{FF2B5EF4-FFF2-40B4-BE49-F238E27FC236}">
              <a16:creationId xmlns:a16="http://schemas.microsoft.com/office/drawing/2014/main" id="{ED6BCFCB-2999-49B9-9817-965A17DBD5B4}"/>
            </a:ext>
          </a:extLst>
        </cdr:cNvPr>
        <cdr:cNvCxnSpPr/>
      </cdr:nvCxnSpPr>
      <cdr:spPr>
        <a:xfrm xmlns:a="http://schemas.openxmlformats.org/drawingml/2006/main" flipV="1">
          <a:off x="5820614" y="384806"/>
          <a:ext cx="0" cy="575724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0.05948</cdr:x>
      <cdr:y>0.54538</cdr:y>
    </cdr:from>
    <cdr:to>
      <cdr:x>0.85503</cdr:x>
      <cdr:y>0.91076</cdr:y>
    </cdr:to>
    <cdr:cxnSp macro="">
      <cdr:nvCxnSpPr>
        <cdr:cNvPr id="18" name="Conector reto 17">
          <a:extLst xmlns:a="http://schemas.openxmlformats.org/drawingml/2006/main">
            <a:ext uri="{FF2B5EF4-FFF2-40B4-BE49-F238E27FC236}">
              <a16:creationId xmlns:a16="http://schemas.microsoft.com/office/drawing/2014/main" id="{0221475A-D942-431B-9F40-6B0D0499DF4F}"/>
            </a:ext>
          </a:extLst>
        </cdr:cNvPr>
        <cdr:cNvCxnSpPr/>
      </cdr:nvCxnSpPr>
      <cdr:spPr>
        <a:xfrm xmlns:a="http://schemas.openxmlformats.org/drawingml/2006/main">
          <a:off x="617445" y="3629586"/>
          <a:ext cx="8258735" cy="243167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0.05948</cdr:x>
      <cdr:y>0.11265</cdr:y>
    </cdr:from>
    <cdr:to>
      <cdr:x>0.92843</cdr:x>
      <cdr:y>0.91413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20D5751B-E511-438D-998B-29112C65F32A}"/>
            </a:ext>
          </a:extLst>
        </cdr:cNvPr>
        <cdr:cNvCxnSpPr/>
      </cdr:nvCxnSpPr>
      <cdr:spPr>
        <a:xfrm xmlns:a="http://schemas.openxmlformats.org/drawingml/2006/main">
          <a:off x="617445" y="749674"/>
          <a:ext cx="9020735" cy="5334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7</xdr:row>
      <xdr:rowOff>9526</xdr:rowOff>
    </xdr:from>
    <xdr:to>
      <xdr:col>11</xdr:col>
      <xdr:colOff>28575</xdr:colOff>
      <xdr:row>23</xdr:row>
      <xdr:rowOff>104776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99E010-ED4E-4973-8765-CEB18B9CD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0.06161</cdr:x>
      <cdr:y>0.43636</cdr:y>
    </cdr:from>
    <cdr:to>
      <cdr:x>0.8981</cdr:x>
      <cdr:y>0.9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2F5B720C-7CAA-44EB-B101-DB33160E9330}"/>
            </a:ext>
          </a:extLst>
        </cdr:cNvPr>
        <cdr:cNvCxnSpPr/>
      </cdr:nvCxnSpPr>
      <cdr:spPr>
        <a:xfrm xmlns:a="http://schemas.openxmlformats.org/drawingml/2006/main" flipH="1" flipV="1">
          <a:off x="247650" y="1371599"/>
          <a:ext cx="3362325" cy="14573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0.06161</cdr:x>
      <cdr:y>0.20303</cdr:y>
    </cdr:from>
    <cdr:to>
      <cdr:x>0.62322</cdr:x>
      <cdr:y>0.90303</cdr:y>
    </cdr:to>
    <cdr:cxnSp macro="">
      <cdr:nvCxnSpPr>
        <cdr:cNvPr id="5" name="Conector reto 4">
          <a:extLst xmlns:a="http://schemas.openxmlformats.org/drawingml/2006/main">
            <a:ext uri="{FF2B5EF4-FFF2-40B4-BE49-F238E27FC236}">
              <a16:creationId xmlns:a16="http://schemas.microsoft.com/office/drawing/2014/main" id="{FEEE78B9-8B9E-40CD-A8F5-FFF57FAB1D7B}"/>
            </a:ext>
          </a:extLst>
        </cdr:cNvPr>
        <cdr:cNvCxnSpPr/>
      </cdr:nvCxnSpPr>
      <cdr:spPr>
        <a:xfrm xmlns:a="http://schemas.openxmlformats.org/drawingml/2006/main">
          <a:off x="247650" y="638174"/>
          <a:ext cx="2257425" cy="22002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0.05924</cdr:x>
      <cdr:y>0.62424</cdr:y>
    </cdr:from>
    <cdr:to>
      <cdr:x>0.3981</cdr:x>
      <cdr:y>0.90606</cdr:y>
    </cdr:to>
    <cdr:sp macro="" textlink="">
      <cdr:nvSpPr>
        <cdr:cNvPr id="6" name="Retângulo 5">
          <a:extLst xmlns:a="http://schemas.openxmlformats.org/drawingml/2006/main">
            <a:ext uri="{FF2B5EF4-FFF2-40B4-BE49-F238E27FC236}">
              <a16:creationId xmlns:a16="http://schemas.microsoft.com/office/drawing/2014/main" id="{D6B6FB86-C932-4744-881B-D6BC236284E1}"/>
            </a:ext>
          </a:extLst>
        </cdr:cNvPr>
        <cdr:cNvSpPr/>
      </cdr:nvSpPr>
      <cdr:spPr>
        <a:xfrm xmlns:a="http://schemas.openxmlformats.org/drawingml/2006/main">
          <a:off x="238125" y="1962149"/>
          <a:ext cx="1362075" cy="8858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alpha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0A7B8-A6DE-49C3-8964-223A33B59C20}" name="Tabela15" displayName="Tabela15" ref="G1:M3" totalsRowShown="0">
  <autoFilter ref="G1:M3" xr:uid="{B72FC1B3-DA4B-444F-AFCD-4B78641081D3}"/>
  <tableColumns count="7">
    <tableColumn id="1" xr3:uid="{EE0B1C16-DEF9-445B-9314-5A060DB6F3E2}" name="X"/>
    <tableColumn id="2" xr3:uid="{B534069A-6CD8-46EF-9523-AB2018C8C2AA}" name="Y"/>
    <tableColumn id="3" xr3:uid="{6EF82404-DD3A-4BDF-9600-64D1070D7DE6}" name="R1" dataDxfId="2">
      <calculatedColumnFormula>G2+H2</calculatedColumnFormula>
    </tableColumn>
    <tableColumn id="4" xr3:uid="{7E14DF1E-76C4-4A57-B8B2-CF2D9E05FDBE}" name="R2" dataDxfId="0">
      <calculatedColumnFormula>0.4*G2+0.2*H2</calculatedColumnFormula>
    </tableColumn>
    <tableColumn id="5" xr3:uid="{D9F8AF73-27DF-4592-9139-52539411B818}" name="R3" dataDxfId="1">
      <calculatedColumnFormula>Tabela15[[#This Row],[X]]</calculatedColumnFormula>
    </tableColumn>
    <tableColumn id="6" xr3:uid="{82047DC9-09B4-4DD2-B89E-FB9712CDCB00}" name="R4" dataDxfId="3">
      <calculatedColumnFormula>Tabela15[[#This Row],[Y]]</calculatedColumnFormula>
    </tableColumn>
    <tableColumn id="7" xr3:uid="{CA01933C-C784-400A-8A97-0217FC061DF9}" name="LUCRO TOTAL" dataDxfId="4">
      <calculatedColumnFormula>0.12*I2+0.35*#REF!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DEF56E-5075-4835-9CE3-301419726120}" name="Tabela26" displayName="Tabela26" ref="A6:F12" totalsRowShown="0">
  <autoFilter ref="A6:F12" xr:uid="{6A96B8DF-F2BD-4BFF-BF34-2DC7630F54E0}"/>
  <tableColumns count="6">
    <tableColumn id="1" xr3:uid="{F3A7488C-23C2-44FA-A895-D9BEC16EEB67}" name="RESTRIÇÕES"/>
    <tableColumn id="2" xr3:uid="{8DE97789-A013-4CAE-9B2F-B735E80939AC}" name="x"/>
    <tableColumn id="3" xr3:uid="{A1BCF342-B7EF-4CB4-9C45-013652346B75}" name="y"/>
    <tableColumn id="4" xr3:uid="{5C11249F-A819-4B50-A7C1-34A7773597E8}" name="USADO "/>
    <tableColumn id="5" xr3:uid="{80CD6C5F-F3C7-4CD8-8B79-0D6A616089C1}" name="DISPONIVEL"/>
    <tableColumn id="6" xr3:uid="{BE404437-1232-44FB-81F9-BAA514ABCF19}" name="Coluna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AC51A3-EA2B-4EC9-A724-567B061E4A49}" name="Tabela37" displayName="Tabela37" ref="A1:D3" totalsRowShown="0">
  <autoFilter ref="A1:D3" xr:uid="{644E1F9F-CF2F-4BC2-9D3B-1BF303C9849D}"/>
  <tableColumns count="4">
    <tableColumn id="1" xr3:uid="{39173A19-B99E-4573-B3F1-8FB27C2EA7A1}" name="Dados"/>
    <tableColumn id="2" xr3:uid="{70454F1E-4832-474B-A3E3-A793BAE38B13}" name="X"/>
    <tableColumn id="3" xr3:uid="{84D551B3-1963-4F55-89F2-ED2BC0E04DB7}" name="Y"/>
    <tableColumn id="4" xr3:uid="{E1AA07F0-8A9F-4CF0-8F6E-C6576E6C4D35}" name="LUCRO TOTAL" dataDxfId="5">
      <calculatedColumnFormula>0.12*B2+0.35*C2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DE753-E62A-414C-9ECF-CFCE6E97AC1F}" name="Tabela1" displayName="Tabela1" ref="G1:K6" totalsRowShown="0">
  <autoFilter ref="G1:K6" xr:uid="{B72FC1B3-DA4B-444F-AFCD-4B78641081D3}"/>
  <tableColumns count="5">
    <tableColumn id="1" xr3:uid="{AE9D2D82-1C00-4C00-B272-E8699D39AB35}" name="A"/>
    <tableColumn id="2" xr3:uid="{B493F981-0708-465C-B800-3BF42DBC644F}" name="B"/>
    <tableColumn id="3" xr3:uid="{A402E268-888E-4A94-8EEB-649C4529AA30}" name="R1">
      <calculatedColumnFormula>3*G2+2*H2</calculatedColumnFormula>
    </tableColumn>
    <tableColumn id="4" xr3:uid="{28BE3756-080C-49E4-87E1-1B5BFC56077F}" name="R2">
      <calculatedColumnFormula>4*G2+6*H2</calculatedColumnFormula>
    </tableColumn>
    <tableColumn id="5" xr3:uid="{8DECD1A8-AF13-4342-89B2-AC32849A7281}" name="LUCRO TOTAL" dataDxfId="6">
      <calculatedColumnFormula>3*G2+4*H2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6ADB2-2213-478D-924F-1D2E262311A4}" name="Tabela2" displayName="Tabela2" ref="A6:E10" totalsRowShown="0">
  <autoFilter ref="A6:E10" xr:uid="{6A96B8DF-F2BD-4BFF-BF34-2DC7630F54E0}"/>
  <tableColumns count="5">
    <tableColumn id="1" xr3:uid="{5C37244F-5ACD-4B49-802A-34C565FBA2DA}" name="RESTRIÇÕES"/>
    <tableColumn id="2" xr3:uid="{600AFD61-CBA4-44EA-A9CF-2012AF5A5921}" name="A"/>
    <tableColumn id="3" xr3:uid="{E01FB8A2-AFD4-4E73-B1C5-2425825BC34C}" name="B"/>
    <tableColumn id="4" xr3:uid="{F58609C6-B2CE-45E7-A49E-83828AA7DAF3}" name="USADO "/>
    <tableColumn id="5" xr3:uid="{EEE61495-AC2F-42E7-8E79-C1518B7F21BB}" name="DISPONIVEL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1B50E4-8D6B-4BD8-92CD-D683AE202D78}" name="Tabela3" displayName="Tabela3" ref="A1:D3" totalsRowShown="0">
  <autoFilter ref="A1:D3" xr:uid="{644E1F9F-CF2F-4BC2-9D3B-1BF303C9849D}"/>
  <tableColumns count="4">
    <tableColumn id="1" xr3:uid="{51E1FEF9-DADC-40FE-B135-A203243C0AE3}" name="Dados"/>
    <tableColumn id="2" xr3:uid="{68697A76-FEDA-40EC-9F27-1FBC3927D98F}" name="A"/>
    <tableColumn id="3" xr3:uid="{0A56BB22-55DA-4A41-A30A-E08A5E3B2781}" name="B"/>
    <tableColumn id="4" xr3:uid="{C486530C-4F45-446A-B0BC-9AE738230983}" name="LUCRO TOT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C736-DC12-45DA-BFC3-CC691EB29BD3}">
  <dimension ref="A1:M12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24.85546875" customWidth="1"/>
    <col min="2" max="2" width="10.85546875" customWidth="1"/>
    <col min="4" max="4" width="15.42578125" customWidth="1"/>
    <col min="5" max="5" width="13.7109375" customWidth="1"/>
    <col min="11" max="11" width="10.7109375" customWidth="1"/>
    <col min="13" max="13" width="13.85546875" customWidth="1"/>
  </cols>
  <sheetData>
    <row r="1" spans="1:13" x14ac:dyDescent="0.25">
      <c r="A1" t="s">
        <v>12</v>
      </c>
      <c r="B1" t="s">
        <v>14</v>
      </c>
      <c r="C1" t="s">
        <v>15</v>
      </c>
      <c r="D1" t="s">
        <v>7</v>
      </c>
      <c r="E1" t="s">
        <v>16</v>
      </c>
      <c r="G1" t="s">
        <v>14</v>
      </c>
      <c r="H1" t="s">
        <v>15</v>
      </c>
      <c r="I1" t="s">
        <v>0</v>
      </c>
      <c r="J1" t="s">
        <v>1</v>
      </c>
      <c r="K1" t="s">
        <v>22</v>
      </c>
      <c r="L1" t="s">
        <v>23</v>
      </c>
      <c r="M1" s="1" t="s">
        <v>7</v>
      </c>
    </row>
    <row r="2" spans="1:13" x14ac:dyDescent="0.25">
      <c r="A2" t="s">
        <v>10</v>
      </c>
      <c r="B2">
        <v>75</v>
      </c>
      <c r="C2">
        <v>85</v>
      </c>
      <c r="D2" s="5">
        <f t="shared" ref="D2" si="0">0.12*B2+0.35*C2</f>
        <v>38.75</v>
      </c>
      <c r="E2" t="s">
        <v>17</v>
      </c>
      <c r="G2" s="4">
        <v>75</v>
      </c>
      <c r="H2">
        <v>85</v>
      </c>
      <c r="I2" s="10">
        <f>G2+H2</f>
        <v>160</v>
      </c>
      <c r="J2" s="9">
        <f>0.4*G2+0.2*H2</f>
        <v>47</v>
      </c>
      <c r="K2" s="9">
        <f>Tabela15[[#This Row],[X]]</f>
        <v>75</v>
      </c>
      <c r="L2" s="11">
        <f>Tabela15[[#This Row],[Y]]</f>
        <v>85</v>
      </c>
      <c r="M2" s="7">
        <f>0.12*G2+0.35*Tabela15[[#This Row],[Y]]</f>
        <v>38.75</v>
      </c>
    </row>
    <row r="3" spans="1:13" x14ac:dyDescent="0.25">
      <c r="A3" t="s">
        <v>11</v>
      </c>
      <c r="B3">
        <v>0.12</v>
      </c>
      <c r="C3">
        <v>0.35</v>
      </c>
      <c r="D3" s="2"/>
      <c r="G3">
        <v>100</v>
      </c>
      <c r="H3">
        <v>60</v>
      </c>
      <c r="I3" s="10">
        <f>G3+H3</f>
        <v>160</v>
      </c>
      <c r="J3" s="9">
        <f>0.4*G3+0.2*H3</f>
        <v>52</v>
      </c>
      <c r="K3" s="9">
        <f>Tabela15[[#This Row],[X]]</f>
        <v>100</v>
      </c>
      <c r="L3" s="11">
        <f>Tabela15[[#This Row],[Y]]</f>
        <v>60</v>
      </c>
      <c r="M3" s="7">
        <f>0.12*G3+0.35*Tabela15[[#This Row],[Y]]</f>
        <v>33</v>
      </c>
    </row>
    <row r="4" spans="1:13" x14ac:dyDescent="0.25">
      <c r="I4" s="6"/>
      <c r="J4" s="4"/>
      <c r="K4" s="4"/>
      <c r="L4" s="4"/>
      <c r="M4" s="3"/>
    </row>
    <row r="5" spans="1:13" x14ac:dyDescent="0.25">
      <c r="I5" s="6"/>
      <c r="J5" s="4"/>
      <c r="K5" s="4"/>
      <c r="L5" s="4"/>
      <c r="M5" s="8"/>
    </row>
    <row r="6" spans="1:13" x14ac:dyDescent="0.25">
      <c r="A6" t="s">
        <v>2</v>
      </c>
      <c r="B6" t="s">
        <v>25</v>
      </c>
      <c r="C6" t="s">
        <v>24</v>
      </c>
      <c r="D6" t="s">
        <v>5</v>
      </c>
      <c r="E6" t="s">
        <v>6</v>
      </c>
      <c r="F6" t="s">
        <v>13</v>
      </c>
    </row>
    <row r="7" spans="1:13" x14ac:dyDescent="0.25">
      <c r="A7" t="s">
        <v>18</v>
      </c>
      <c r="B7">
        <v>0</v>
      </c>
      <c r="C7" s="6">
        <v>160</v>
      </c>
      <c r="D7" s="6">
        <f>B7+C7</f>
        <v>160</v>
      </c>
      <c r="E7" s="6">
        <v>160000</v>
      </c>
      <c r="F7">
        <v>160</v>
      </c>
    </row>
    <row r="8" spans="1:13" x14ac:dyDescent="0.25">
      <c r="A8" t="s">
        <v>18</v>
      </c>
      <c r="B8" s="6">
        <v>160</v>
      </c>
      <c r="C8" s="6">
        <v>0</v>
      </c>
      <c r="D8">
        <f>B8+C8</f>
        <v>160</v>
      </c>
      <c r="E8" s="6">
        <v>160000</v>
      </c>
      <c r="F8">
        <v>160</v>
      </c>
    </row>
    <row r="9" spans="1:13" x14ac:dyDescent="0.25">
      <c r="A9" t="s">
        <v>19</v>
      </c>
      <c r="B9">
        <v>0</v>
      </c>
      <c r="C9">
        <v>350</v>
      </c>
      <c r="D9">
        <f>0.4*B9+0.2*C9</f>
        <v>70</v>
      </c>
      <c r="E9" s="6">
        <v>70000</v>
      </c>
      <c r="F9">
        <v>70</v>
      </c>
    </row>
    <row r="10" spans="1:13" x14ac:dyDescent="0.25">
      <c r="A10" t="s">
        <v>19</v>
      </c>
      <c r="B10" s="6">
        <v>175</v>
      </c>
      <c r="C10">
        <v>0</v>
      </c>
      <c r="D10">
        <f>0.4*B10+0.2*C10</f>
        <v>70</v>
      </c>
      <c r="E10" s="6">
        <v>70000</v>
      </c>
      <c r="F10">
        <v>70</v>
      </c>
    </row>
    <row r="11" spans="1:13" x14ac:dyDescent="0.25">
      <c r="A11" t="s">
        <v>20</v>
      </c>
      <c r="B11" s="6">
        <v>100</v>
      </c>
      <c r="C11">
        <v>0</v>
      </c>
      <c r="D11">
        <f>Tabela26[[#This Row],[x]]</f>
        <v>100</v>
      </c>
      <c r="E11" s="6">
        <v>100000</v>
      </c>
      <c r="F11">
        <v>100</v>
      </c>
    </row>
    <row r="12" spans="1:13" x14ac:dyDescent="0.25">
      <c r="A12" t="s">
        <v>21</v>
      </c>
      <c r="B12" s="6">
        <v>0</v>
      </c>
      <c r="C12" s="6">
        <v>85</v>
      </c>
      <c r="D12">
        <f>C12</f>
        <v>85</v>
      </c>
      <c r="E12" s="6">
        <v>85000</v>
      </c>
      <c r="F12">
        <v>85</v>
      </c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6F93-76C8-4883-9052-AEFCF790A5BF}">
  <dimension ref="A1:K10"/>
  <sheetViews>
    <sheetView workbookViewId="0">
      <selection activeCell="D2" sqref="D2"/>
    </sheetView>
  </sheetViews>
  <sheetFormatPr defaultRowHeight="15" x14ac:dyDescent="0.25"/>
  <cols>
    <col min="1" max="1" width="16.85546875" customWidth="1"/>
    <col min="4" max="4" width="15.42578125" customWidth="1"/>
    <col min="5" max="5" width="13.7109375" customWidth="1"/>
    <col min="11" max="11" width="15.7109375" customWidth="1"/>
  </cols>
  <sheetData>
    <row r="1" spans="1:11" x14ac:dyDescent="0.25">
      <c r="A1" t="s">
        <v>12</v>
      </c>
      <c r="B1" t="s">
        <v>8</v>
      </c>
      <c r="C1" t="s">
        <v>9</v>
      </c>
      <c r="D1" t="s">
        <v>7</v>
      </c>
      <c r="G1" t="s">
        <v>8</v>
      </c>
      <c r="H1" t="s">
        <v>9</v>
      </c>
      <c r="I1" t="s">
        <v>0</v>
      </c>
      <c r="J1" t="s">
        <v>1</v>
      </c>
      <c r="K1" t="s">
        <v>7</v>
      </c>
    </row>
    <row r="2" spans="1:11" x14ac:dyDescent="0.25">
      <c r="A2" t="s">
        <v>10</v>
      </c>
      <c r="B2">
        <v>3</v>
      </c>
      <c r="C2">
        <v>3</v>
      </c>
      <c r="D2" s="5">
        <f>3*B2+4*C2</f>
        <v>21</v>
      </c>
      <c r="G2">
        <v>0</v>
      </c>
      <c r="H2">
        <v>7.5</v>
      </c>
      <c r="I2">
        <f>3*G2+2*H2</f>
        <v>15</v>
      </c>
      <c r="J2">
        <f>4*G2+6*H2</f>
        <v>45</v>
      </c>
      <c r="K2" s="2">
        <f t="shared" ref="K2:K6" si="0">3*G2+4*H2</f>
        <v>30</v>
      </c>
    </row>
    <row r="3" spans="1:11" x14ac:dyDescent="0.25">
      <c r="A3" t="s">
        <v>11</v>
      </c>
      <c r="B3">
        <v>3</v>
      </c>
      <c r="C3">
        <v>4</v>
      </c>
      <c r="G3">
        <v>5</v>
      </c>
      <c r="H3">
        <v>0</v>
      </c>
      <c r="I3">
        <f>3*G3+2*H3</f>
        <v>15</v>
      </c>
      <c r="J3">
        <f>4*G3+6*H3</f>
        <v>20</v>
      </c>
      <c r="K3" s="2">
        <f t="shared" si="0"/>
        <v>15</v>
      </c>
    </row>
    <row r="4" spans="1:11" x14ac:dyDescent="0.25">
      <c r="G4">
        <v>0</v>
      </c>
      <c r="H4">
        <f>30/6</f>
        <v>5</v>
      </c>
      <c r="I4">
        <f>3*G4+2*H4</f>
        <v>10</v>
      </c>
      <c r="J4">
        <f>4*G4+6*H4</f>
        <v>30</v>
      </c>
      <c r="K4" s="2">
        <f t="shared" si="0"/>
        <v>20</v>
      </c>
    </row>
    <row r="5" spans="1:11" x14ac:dyDescent="0.25">
      <c r="G5" s="4">
        <f>30/4</f>
        <v>7.5</v>
      </c>
      <c r="H5">
        <v>0</v>
      </c>
      <c r="I5">
        <f>3*G5+2*H5</f>
        <v>22.5</v>
      </c>
      <c r="J5">
        <f>4*G5+6*H5</f>
        <v>30</v>
      </c>
      <c r="K5" s="2">
        <f t="shared" si="0"/>
        <v>22.5</v>
      </c>
    </row>
    <row r="6" spans="1:11" x14ac:dyDescent="0.25">
      <c r="A6" t="s">
        <v>2</v>
      </c>
      <c r="B6" t="s">
        <v>8</v>
      </c>
      <c r="C6" t="s">
        <v>9</v>
      </c>
      <c r="D6" t="s">
        <v>5</v>
      </c>
      <c r="E6" t="s">
        <v>6</v>
      </c>
      <c r="G6">
        <v>3</v>
      </c>
      <c r="H6">
        <v>3</v>
      </c>
      <c r="I6">
        <f>3*G6+2*H6</f>
        <v>15</v>
      </c>
      <c r="J6">
        <f>4*G6+6*H6</f>
        <v>30</v>
      </c>
      <c r="K6" s="2">
        <f t="shared" si="0"/>
        <v>21</v>
      </c>
    </row>
    <row r="7" spans="1:11" x14ac:dyDescent="0.25">
      <c r="A7" t="s">
        <v>3</v>
      </c>
      <c r="B7">
        <v>0</v>
      </c>
      <c r="C7">
        <v>7.5</v>
      </c>
      <c r="D7">
        <f>3*B7+2*C7</f>
        <v>15</v>
      </c>
      <c r="E7">
        <v>15</v>
      </c>
    </row>
    <row r="8" spans="1:11" x14ac:dyDescent="0.25">
      <c r="A8" t="s">
        <v>3</v>
      </c>
      <c r="B8">
        <v>5</v>
      </c>
      <c r="C8">
        <v>0</v>
      </c>
      <c r="D8">
        <f>3*B8+2*C8</f>
        <v>15</v>
      </c>
      <c r="E8">
        <v>15</v>
      </c>
    </row>
    <row r="9" spans="1:11" x14ac:dyDescent="0.25">
      <c r="A9" t="s">
        <v>4</v>
      </c>
      <c r="B9">
        <v>0</v>
      </c>
      <c r="C9">
        <v>5</v>
      </c>
      <c r="D9">
        <f>4*B9+6*C9</f>
        <v>30</v>
      </c>
      <c r="E9">
        <v>30</v>
      </c>
    </row>
    <row r="10" spans="1:11" x14ac:dyDescent="0.25">
      <c r="A10" t="s">
        <v>4</v>
      </c>
      <c r="B10">
        <v>7.5</v>
      </c>
      <c r="C10">
        <v>0</v>
      </c>
      <c r="D10">
        <f>4*B10+6*C10</f>
        <v>30</v>
      </c>
      <c r="E10">
        <v>30</v>
      </c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2026-09-02T22:03:54Z</dcterms:created>
  <dcterms:modified xsi:type="dcterms:W3CDTF">2026-09-02T22:54:12Z</dcterms:modified>
</cp:coreProperties>
</file>