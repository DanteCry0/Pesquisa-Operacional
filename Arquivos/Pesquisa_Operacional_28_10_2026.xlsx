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01A01CF2-38B4-4D9E-8B8C-93A58A35A342}" xr6:coauthVersionLast="36" xr6:coauthVersionMax="36" xr10:uidLastSave="{00000000-0000-0000-0000-000000000000}"/>
  <bookViews>
    <workbookView xWindow="0" yWindow="0" windowWidth="28800" windowHeight="12105" activeTab="3" xr2:uid="{8D6C0FA3-C012-4463-B83B-7B6D56B3562A}"/>
  </bookViews>
  <sheets>
    <sheet name="Ex1- De Transbordo" sheetId="7" r:id="rId1"/>
    <sheet name="Ex2- De Problemas de Transporte" sheetId="8" r:id="rId2"/>
    <sheet name="Ex3" sheetId="9" r:id="rId3"/>
    <sheet name="Ex4" sheetId="10" r:id="rId4"/>
  </sheets>
  <definedNames>
    <definedName name="solver_adj" localSheetId="0" hidden="1">'Ex1- De Transbordo'!$B$5:$J$6</definedName>
    <definedName name="solver_adj" localSheetId="1" hidden="1">'Ex2- De Problemas de Transporte'!$B$5:$Q$5</definedName>
    <definedName name="solver_adj" localSheetId="2" hidden="1">'Ex3'!$B$3:$J$3</definedName>
    <definedName name="solver_adj" localSheetId="3" hidden="1">'Ex4'!$B$2:$M$2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0" hidden="1">'Ex1- De Transbordo'!$L$9:$L$10</definedName>
    <definedName name="solver_lhs1" localSheetId="1" hidden="1">'Ex2- De Problemas de Transporte'!$R$10:$R$17</definedName>
    <definedName name="solver_lhs1" localSheetId="2" hidden="1">'Ex3'!$K$7:$K$12</definedName>
    <definedName name="solver_lhs1" localSheetId="3" hidden="1">'Ex4'!$N$10:$N$13</definedName>
    <definedName name="solver_lhs2" localSheetId="0" hidden="1">'Ex1- De Transbordo'!$L$9:$L$14</definedName>
    <definedName name="solver_lhs2" localSheetId="3" hidden="1">'Ex4'!$N$6:$N$8</definedName>
    <definedName name="solver_lhs3" localSheetId="3" hidden="1">'Ex4'!$N$9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2</definedName>
    <definedName name="solver_num" localSheetId="1" hidden="1">1</definedName>
    <definedName name="solver_num" localSheetId="2" hidden="1">1</definedName>
    <definedName name="solver_num" localSheetId="3" hidden="1">3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'Ex1- De Transbordo'!$M$6</definedName>
    <definedName name="solver_opt" localSheetId="1" hidden="1">'Ex2- De Problemas de Transporte'!$S$7</definedName>
    <definedName name="solver_opt" localSheetId="2" hidden="1">'Ex3'!$M$4</definedName>
    <definedName name="solver_opt" localSheetId="3" hidden="1">'Ex4'!$P$2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1</definedName>
    <definedName name="solver_rel1" localSheetId="1" hidden="1">1</definedName>
    <definedName name="solver_rel1" localSheetId="2" hidden="1">2</definedName>
    <definedName name="solver_rel1" localSheetId="3" hidden="1">2</definedName>
    <definedName name="solver_rel2" localSheetId="0" hidden="1">2</definedName>
    <definedName name="solver_rel2" localSheetId="3" hidden="1">3</definedName>
    <definedName name="solver_rel3" localSheetId="3" hidden="1">2</definedName>
    <definedName name="solver_rhs1" localSheetId="0" hidden="1">'Ex1- De Transbordo'!$M$9:$M$10</definedName>
    <definedName name="solver_rhs1" localSheetId="1" hidden="1">'Ex2- De Problemas de Transporte'!$S$10:$S$17</definedName>
    <definedName name="solver_rhs1" localSheetId="2" hidden="1">'Ex3'!$L$7:$L$12</definedName>
    <definedName name="solver_rhs1" localSheetId="3" hidden="1">'Ex4'!$O$10:$O$13</definedName>
    <definedName name="solver_rhs2" localSheetId="0" hidden="1">'Ex1- De Transbordo'!$M$9:$M$14</definedName>
    <definedName name="solver_rhs2" localSheetId="3" hidden="1">'Ex4'!$O$6:$O$8</definedName>
    <definedName name="solver_rhs3" localSheetId="3" hidden="1">'Ex4'!$O$9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2</definedName>
    <definedName name="solver_typ" localSheetId="1" hidden="1">1</definedName>
    <definedName name="solver_typ" localSheetId="2" hidden="1">2</definedName>
    <definedName name="solver_typ" localSheetId="3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10" l="1"/>
  <c r="N7" i="10"/>
  <c r="N8" i="10"/>
  <c r="N9" i="10"/>
  <c r="N11" i="10"/>
  <c r="N12" i="10"/>
  <c r="N13" i="10"/>
  <c r="N6" i="10"/>
  <c r="O8" i="10"/>
  <c r="O7" i="10"/>
  <c r="O6" i="10"/>
  <c r="P2" i="10"/>
  <c r="K12" i="9"/>
  <c r="K11" i="9"/>
  <c r="K10" i="9"/>
  <c r="K9" i="9"/>
  <c r="K8" i="9"/>
  <c r="K7" i="9"/>
  <c r="M4" i="9"/>
  <c r="L13" i="7"/>
  <c r="L10" i="7"/>
  <c r="L11" i="7"/>
  <c r="L12" i="7"/>
  <c r="L9" i="7"/>
  <c r="M6" i="7"/>
  <c r="R12" i="8"/>
  <c r="R11" i="8"/>
  <c r="R13" i="8"/>
  <c r="R14" i="8"/>
  <c r="R15" i="8"/>
  <c r="R16" i="8"/>
  <c r="R17" i="8"/>
  <c r="R10" i="8"/>
  <c r="S7" i="8"/>
  <c r="L1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</author>
  </authors>
  <commentList>
    <comment ref="A9" authorId="0" shapeId="0" xr:uid="{E1464EFF-3D4F-43B7-BB29-3D749DA32184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Restrições de capacidade.</t>
        </r>
      </text>
    </comment>
    <comment ref="A11" authorId="0" shapeId="0" xr:uid="{60F0A538-ADB9-4FE2-A479-A3001CE2F80B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Restrições de demanda.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</author>
  </authors>
  <commentList>
    <comment ref="A10" authorId="0" shapeId="0" xr:uid="{0F51AB06-F6D9-414E-A82C-BECBFC910D93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Restrições de capacidade.</t>
        </r>
      </text>
    </comment>
  </commentList>
</comments>
</file>

<file path=xl/sharedStrings.xml><?xml version="1.0" encoding="utf-8"?>
<sst xmlns="http://schemas.openxmlformats.org/spreadsheetml/2006/main" count="107" uniqueCount="87">
  <si>
    <t>X11</t>
  </si>
  <si>
    <t>X12</t>
  </si>
  <si>
    <t>X13</t>
  </si>
  <si>
    <t>X21</t>
  </si>
  <si>
    <t>X22</t>
  </si>
  <si>
    <t>X23</t>
  </si>
  <si>
    <t>Total:</t>
  </si>
  <si>
    <t>Restrições</t>
  </si>
  <si>
    <t>Usado</t>
  </si>
  <si>
    <t>Disponivel</t>
  </si>
  <si>
    <t>Variáveis</t>
  </si>
  <si>
    <t>X31</t>
  </si>
  <si>
    <t>X32</t>
  </si>
  <si>
    <t>X33</t>
  </si>
  <si>
    <t>X34</t>
  </si>
  <si>
    <t>X14</t>
  </si>
  <si>
    <t>X24</t>
  </si>
  <si>
    <t>Usar menor ou igual para capacidades</t>
  </si>
  <si>
    <t>D2</t>
  </si>
  <si>
    <t>D1</t>
  </si>
  <si>
    <t>X36</t>
  </si>
  <si>
    <t>D3</t>
  </si>
  <si>
    <t>Transbordo1</t>
  </si>
  <si>
    <t>Custos</t>
  </si>
  <si>
    <r>
      <t>Cada conexão pode ser chamada de X</t>
    </r>
    <r>
      <rPr>
        <sz val="8"/>
        <color theme="1"/>
        <rFont val="Bahnschrift"/>
        <family val="2"/>
      </rPr>
      <t>ij</t>
    </r>
  </si>
  <si>
    <t>A</t>
  </si>
  <si>
    <t>B</t>
  </si>
  <si>
    <t>REFINA</t>
  </si>
  <si>
    <t>DISTRIBUI</t>
  </si>
  <si>
    <t>C</t>
  </si>
  <si>
    <t>E</t>
  </si>
  <si>
    <t>D</t>
  </si>
  <si>
    <t>REFINARIA1</t>
  </si>
  <si>
    <t>REFINARIA2</t>
  </si>
  <si>
    <t>X15</t>
  </si>
  <si>
    <t>X16</t>
  </si>
  <si>
    <t>T</t>
  </si>
  <si>
    <t>x24</t>
  </si>
  <si>
    <t>x25</t>
  </si>
  <si>
    <t>x26</t>
  </si>
  <si>
    <t>PROJ 1</t>
  </si>
  <si>
    <t>LUCRO</t>
  </si>
  <si>
    <t>CAPACIDADE</t>
  </si>
  <si>
    <t>X41</t>
  </si>
  <si>
    <t>X42</t>
  </si>
  <si>
    <t>X43</t>
  </si>
  <si>
    <t>X44</t>
  </si>
  <si>
    <t>PROJETOS 1</t>
  </si>
  <si>
    <t>PROJETOS 2</t>
  </si>
  <si>
    <t>PROJETOS 3</t>
  </si>
  <si>
    <t>PROJETOS 4</t>
  </si>
  <si>
    <t>1 PAULA</t>
  </si>
  <si>
    <t>2 RAFAELA</t>
  </si>
  <si>
    <t>3 MONICA</t>
  </si>
  <si>
    <t>4 GABRIELA</t>
  </si>
  <si>
    <t>USADO</t>
  </si>
  <si>
    <t>ATENDER</t>
  </si>
  <si>
    <t>RESTRIÇÕES</t>
  </si>
  <si>
    <t>PROJETO 1</t>
  </si>
  <si>
    <t>PROJETO 2</t>
  </si>
  <si>
    <t>PROJETO 3</t>
  </si>
  <si>
    <t>LUIZ</t>
  </si>
  <si>
    <t>GERALDO</t>
  </si>
  <si>
    <t>AGIVALDO</t>
  </si>
  <si>
    <t>CAP</t>
  </si>
  <si>
    <t>M1 OP1</t>
  </si>
  <si>
    <t>M1 OP2</t>
  </si>
  <si>
    <t>M1 OP3</t>
  </si>
  <si>
    <t>M1 OP4</t>
  </si>
  <si>
    <t>M2 OP1</t>
  </si>
  <si>
    <t>M2 OP2</t>
  </si>
  <si>
    <t>M2 OP3</t>
  </si>
  <si>
    <t>M2 OP4</t>
  </si>
  <si>
    <t>M3 OP1</t>
  </si>
  <si>
    <t>M3 OP2</t>
  </si>
  <si>
    <t>M3 OP3</t>
  </si>
  <si>
    <t>M3 OP4</t>
  </si>
  <si>
    <t>OPS CUSTO</t>
  </si>
  <si>
    <t>RESTRIÇÃO</t>
  </si>
  <si>
    <t>TEMPO M1</t>
  </si>
  <si>
    <t>TEMPO M2</t>
  </si>
  <si>
    <t>TEMPO M3</t>
  </si>
  <si>
    <t>TTOTAL</t>
  </si>
  <si>
    <t xml:space="preserve">OP1 </t>
  </si>
  <si>
    <t>OP2</t>
  </si>
  <si>
    <t>OP3</t>
  </si>
  <si>
    <t>OP4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</si>
</sst>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8"/>
      <color theme="1"/>
      <name val="Bahnschrift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1" fillId="0" borderId="0" xfId="0" applyFont="1" applyBorder="1"/>
    <xf numFmtId="0" fontId="1" fillId="2" borderId="0" xfId="0" applyFont="1" applyFill="1"/>
    <xf numFmtId="0" fontId="1" fillId="0" borderId="0" xfId="0" applyFont="1" applyAlignment="1">
      <alignment horizontal="center" wrapText="1"/>
    </xf>
    <xf numFmtId="0" fontId="1" fillId="0" borderId="2" xfId="0" applyFont="1" applyFill="1" applyBorder="1"/>
    <xf numFmtId="0" fontId="1" fillId="3" borderId="1" xfId="0" applyFont="1" applyFill="1" applyBorder="1"/>
    <xf numFmtId="0" fontId="0" fillId="2" borderId="0" xfId="0" applyFill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63500</xdr:colOff>
      <xdr:row>17</xdr:row>
      <xdr:rowOff>84667</xdr:rowOff>
    </xdr:from>
    <xdr:to>
      <xdr:col>4</xdr:col>
      <xdr:colOff>465666</xdr:colOff>
      <xdr:row>17</xdr:row>
      <xdr:rowOff>84667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C47C1E41-B336-455C-B396-E4EFFF3A48FE}"/>
            </a:ext>
          </a:extLst>
        </xdr:cNvPr>
        <xdr:cNvCxnSpPr/>
      </xdr:nvCxnSpPr>
      <xdr:spPr>
        <a:xfrm>
          <a:off x="2423583" y="3143250"/>
          <a:ext cx="1016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52917</xdr:colOff>
      <xdr:row>18</xdr:row>
      <xdr:rowOff>116416</xdr:rowOff>
    </xdr:from>
    <xdr:to>
      <xdr:col>3</xdr:col>
      <xdr:colOff>582084</xdr:colOff>
      <xdr:row>18</xdr:row>
      <xdr:rowOff>116416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EA1EB2D2-126F-4281-AA05-BD0778CF02A4}"/>
            </a:ext>
          </a:extLst>
        </xdr:cNvPr>
        <xdr:cNvCxnSpPr/>
      </xdr:nvCxnSpPr>
      <xdr:spPr>
        <a:xfrm>
          <a:off x="2413000" y="3534833"/>
          <a:ext cx="52916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84667</xdr:colOff>
      <xdr:row>17</xdr:row>
      <xdr:rowOff>84667</xdr:rowOff>
    </xdr:from>
    <xdr:to>
      <xdr:col>5</xdr:col>
      <xdr:colOff>10583</xdr:colOff>
      <xdr:row>18</xdr:row>
      <xdr:rowOff>95250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9E020FD1-141A-4A9B-8FA7-D2F8B822DAEE}"/>
            </a:ext>
          </a:extLst>
        </xdr:cNvPr>
        <xdr:cNvCxnSpPr/>
      </xdr:nvCxnSpPr>
      <xdr:spPr>
        <a:xfrm>
          <a:off x="2444750" y="3143250"/>
          <a:ext cx="1153583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84667</xdr:colOff>
      <xdr:row>18</xdr:row>
      <xdr:rowOff>127000</xdr:rowOff>
    </xdr:from>
    <xdr:to>
      <xdr:col>5</xdr:col>
      <xdr:colOff>10583</xdr:colOff>
      <xdr:row>19</xdr:row>
      <xdr:rowOff>116417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390CE4DA-D7EC-42E9-837A-A5053D72ADC9}"/>
            </a:ext>
          </a:extLst>
        </xdr:cNvPr>
        <xdr:cNvCxnSpPr/>
      </xdr:nvCxnSpPr>
      <xdr:spPr>
        <a:xfrm>
          <a:off x="2444750" y="3545417"/>
          <a:ext cx="539750" cy="1693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28276</xdr:colOff>
      <xdr:row>2</xdr:row>
      <xdr:rowOff>70836</xdr:rowOff>
    </xdr:from>
    <xdr:to>
      <xdr:col>29</xdr:col>
      <xdr:colOff>32208</xdr:colOff>
      <xdr:row>37</xdr:row>
      <xdr:rowOff>158750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A1EC292-1923-41F0-841B-27246489F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44859" y="430669"/>
          <a:ext cx="8756349" cy="6384998"/>
        </a:xfrm>
        <a:prstGeom prst="rect">
          <a:avLst/>
        </a:prstGeom>
      </xdr:spPr>
    </xdr:pic>
    <xdr:clientData/>
  </xdr:twoCellAnchor>
  <xdr:twoCellAnchor>
    <xdr:from>
      <xdr:col>4</xdr:col>
      <xdr:colOff>95250</xdr:colOff>
      <xdr:row>17</xdr:row>
      <xdr:rowOff>74084</xdr:rowOff>
    </xdr:from>
    <xdr:to>
      <xdr:col>5</xdr:col>
      <xdr:colOff>10583</xdr:colOff>
      <xdr:row>18</xdr:row>
      <xdr:rowOff>31750</xdr:rowOff>
    </xdr:to>
    <xdr:cxnSp macro="">
      <xdr:nvCxnSpPr>
        <xdr:cNvPr id="17" name="Conector de Seta Reta 16">
          <a:extLst>
            <a:ext uri="{FF2B5EF4-FFF2-40B4-BE49-F238E27FC236}">
              <a16:creationId xmlns:a16="http://schemas.microsoft.com/office/drawing/2014/main" id="{E176F1A2-2F13-4576-8571-5F13657649AD}"/>
            </a:ext>
          </a:extLst>
        </xdr:cNvPr>
        <xdr:cNvCxnSpPr/>
      </xdr:nvCxnSpPr>
      <xdr:spPr>
        <a:xfrm flipV="1">
          <a:off x="3069167" y="3132667"/>
          <a:ext cx="529166" cy="1375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67734</xdr:colOff>
      <xdr:row>17</xdr:row>
      <xdr:rowOff>99484</xdr:rowOff>
    </xdr:from>
    <xdr:to>
      <xdr:col>4</xdr:col>
      <xdr:colOff>592666</xdr:colOff>
      <xdr:row>19</xdr:row>
      <xdr:rowOff>31750</xdr:rowOff>
    </xdr:to>
    <xdr:cxnSp macro="">
      <xdr:nvCxnSpPr>
        <xdr:cNvPr id="21" name="Conector de Seta Reta 20">
          <a:extLst>
            <a:ext uri="{FF2B5EF4-FFF2-40B4-BE49-F238E27FC236}">
              <a16:creationId xmlns:a16="http://schemas.microsoft.com/office/drawing/2014/main" id="{211D4258-DECD-41C4-8011-BCF1C92299E3}"/>
            </a:ext>
          </a:extLst>
        </xdr:cNvPr>
        <xdr:cNvCxnSpPr/>
      </xdr:nvCxnSpPr>
      <xdr:spPr>
        <a:xfrm>
          <a:off x="2427817" y="3158067"/>
          <a:ext cx="1138766" cy="292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295275</xdr:colOff>
      <xdr:row>0</xdr:row>
      <xdr:rowOff>104775</xdr:rowOff>
    </xdr:from>
    <xdr:to>
      <xdr:col>27</xdr:col>
      <xdr:colOff>262614</xdr:colOff>
      <xdr:row>16</xdr:row>
      <xdr:rowOff>135642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53BCED3-A3E8-4D8A-B237-A876ED9CC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00" y="104775"/>
          <a:ext cx="4844139" cy="30788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457200</xdr:colOff>
      <xdr:row>0</xdr:row>
      <xdr:rowOff>142875</xdr:rowOff>
    </xdr:from>
    <xdr:to>
      <xdr:col>29</xdr:col>
      <xdr:colOff>153870</xdr:colOff>
      <xdr:row>21</xdr:row>
      <xdr:rowOff>54060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586273F-1862-45A7-A225-B79D1C276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34700" y="142875"/>
          <a:ext cx="7011870" cy="391168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14</xdr:row>
      <xdr:rowOff>133350</xdr:rowOff>
    </xdr:from>
    <xdr:to>
      <xdr:col>8</xdr:col>
      <xdr:colOff>412369</xdr:colOff>
      <xdr:row>36</xdr:row>
      <xdr:rowOff>172180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FB5A8F-7E6D-42C7-AD25-D01B9F991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2800350"/>
          <a:ext cx="5632069" cy="422983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20</xdr:row>
      <xdr:rowOff>65476</xdr:rowOff>
    </xdr:from>
    <xdr:to>
      <xdr:col>28</xdr:col>
      <xdr:colOff>354568</xdr:colOff>
      <xdr:row>40</xdr:row>
      <xdr:rowOff>124523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DCD8133-058D-4C40-BF4A-2CB4888E9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62650" y="3875476"/>
          <a:ext cx="11879818" cy="38690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2269-5EEB-47EF-98DE-DB6658A6A93A}">
  <dimension ref="A1:N20"/>
  <sheetViews>
    <sheetView showGridLines="0" zoomScale="90" zoomScaleNormal="90" workbookViewId="0">
      <selection activeCell="E45" sqref="E45"/>
    </sheetView>
  </sheetViews>
  <sheetFormatPr defaultRowHeight="14.25" x14ac:dyDescent="0.2"/>
  <cols>
    <col min="1" max="1" width="17" style="1" bestFit="1" customWidth="1"/>
    <col min="2" max="11" width="9.140625" style="1"/>
    <col min="12" max="13" width="10" style="1" bestFit="1" customWidth="1"/>
    <col min="14" max="14" width="11.28515625" style="1" bestFit="1" customWidth="1"/>
    <col min="15" max="15" width="9.140625" style="1"/>
    <col min="16" max="16" width="11.5703125" style="1" bestFit="1" customWidth="1"/>
    <col min="17" max="16384" width="9.140625" style="1"/>
  </cols>
  <sheetData>
    <row r="1" spans="1:14" x14ac:dyDescent="0.2">
      <c r="B1" s="5" t="s">
        <v>24</v>
      </c>
      <c r="C1" s="5"/>
      <c r="D1" s="5"/>
      <c r="E1" s="5"/>
    </row>
    <row r="3" spans="1:14" x14ac:dyDescent="0.2">
      <c r="A3" s="1" t="s">
        <v>10</v>
      </c>
    </row>
    <row r="4" spans="1:14" x14ac:dyDescent="0.2">
      <c r="A4" s="2"/>
      <c r="B4" s="2" t="s">
        <v>15</v>
      </c>
      <c r="C4" s="2" t="s">
        <v>34</v>
      </c>
      <c r="D4" s="2" t="s">
        <v>35</v>
      </c>
      <c r="E4" s="2" t="s">
        <v>5</v>
      </c>
      <c r="F4" s="2" t="s">
        <v>37</v>
      </c>
      <c r="G4" s="2" t="s">
        <v>38</v>
      </c>
      <c r="H4" s="2" t="s">
        <v>39</v>
      </c>
      <c r="I4" s="2" t="s">
        <v>14</v>
      </c>
      <c r="J4" s="2" t="s">
        <v>20</v>
      </c>
    </row>
    <row r="5" spans="1:14" x14ac:dyDescent="0.2"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M5" s="1">
        <v>8900</v>
      </c>
    </row>
    <row r="6" spans="1:14" x14ac:dyDescent="0.2">
      <c r="A6" s="2" t="s">
        <v>23</v>
      </c>
      <c r="B6" s="2">
        <v>13</v>
      </c>
      <c r="C6" s="2">
        <v>11</v>
      </c>
      <c r="D6" s="2">
        <v>20</v>
      </c>
      <c r="E6" s="2">
        <v>12</v>
      </c>
      <c r="F6" s="2">
        <v>5</v>
      </c>
      <c r="G6" s="2">
        <v>10</v>
      </c>
      <c r="H6" s="2">
        <v>15</v>
      </c>
      <c r="I6" s="2">
        <v>3</v>
      </c>
      <c r="J6" s="2">
        <v>6</v>
      </c>
      <c r="L6" s="2" t="s">
        <v>6</v>
      </c>
      <c r="M6" s="3">
        <f>SUMPRODUCT(B5:J5,B6:J6)</f>
        <v>0</v>
      </c>
    </row>
    <row r="8" spans="1:14" x14ac:dyDescent="0.2">
      <c r="A8" s="1" t="s">
        <v>7</v>
      </c>
      <c r="L8" s="2" t="s">
        <v>8</v>
      </c>
      <c r="M8" s="2" t="s">
        <v>9</v>
      </c>
    </row>
    <row r="9" spans="1:14" x14ac:dyDescent="0.2">
      <c r="A9" s="2" t="s">
        <v>32</v>
      </c>
      <c r="B9" s="2">
        <v>1</v>
      </c>
      <c r="C9" s="2">
        <v>1</v>
      </c>
      <c r="D9" s="2">
        <v>1</v>
      </c>
      <c r="E9" s="2"/>
      <c r="F9" s="2"/>
      <c r="G9" s="2"/>
      <c r="H9" s="2"/>
      <c r="I9" s="2"/>
      <c r="J9" s="2"/>
      <c r="L9" s="3">
        <f>SUMPRODUCT($B$5:$J$5,B9:J9)</f>
        <v>0</v>
      </c>
      <c r="M9" s="2">
        <v>400</v>
      </c>
    </row>
    <row r="10" spans="1:14" x14ac:dyDescent="0.2">
      <c r="A10" s="2" t="s">
        <v>33</v>
      </c>
      <c r="B10" s="2"/>
      <c r="C10" s="2"/>
      <c r="D10" s="2"/>
      <c r="E10" s="2">
        <v>1</v>
      </c>
      <c r="F10" s="2">
        <v>1</v>
      </c>
      <c r="G10" s="2">
        <v>1</v>
      </c>
      <c r="H10" s="2">
        <v>1</v>
      </c>
      <c r="I10" s="2"/>
      <c r="J10" s="2"/>
      <c r="L10" s="3">
        <f t="shared" ref="L10:L13" si="0">SUMPRODUCT($B$5:$J$5,B10:J10)</f>
        <v>0</v>
      </c>
      <c r="M10" s="2">
        <v>500</v>
      </c>
    </row>
    <row r="11" spans="1:14" x14ac:dyDescent="0.2">
      <c r="A11" s="2" t="s">
        <v>19</v>
      </c>
      <c r="B11" s="2">
        <v>1</v>
      </c>
      <c r="C11" s="2"/>
      <c r="D11" s="2"/>
      <c r="E11" s="2"/>
      <c r="F11" s="2">
        <v>1</v>
      </c>
      <c r="G11" s="2"/>
      <c r="H11" s="2"/>
      <c r="I11" s="2">
        <v>1</v>
      </c>
      <c r="J11" s="2"/>
      <c r="L11" s="3">
        <f t="shared" si="0"/>
        <v>0</v>
      </c>
      <c r="M11" s="2">
        <v>300</v>
      </c>
    </row>
    <row r="12" spans="1:14" x14ac:dyDescent="0.2">
      <c r="A12" s="2" t="s">
        <v>18</v>
      </c>
      <c r="B12" s="2"/>
      <c r="C12" s="2">
        <v>1</v>
      </c>
      <c r="D12" s="2"/>
      <c r="E12" s="2"/>
      <c r="F12" s="2"/>
      <c r="G12" s="2">
        <v>1</v>
      </c>
      <c r="H12" s="2"/>
      <c r="I12" s="2"/>
      <c r="J12" s="2"/>
      <c r="L12" s="3">
        <f t="shared" si="0"/>
        <v>0</v>
      </c>
      <c r="M12" s="2">
        <v>400</v>
      </c>
    </row>
    <row r="13" spans="1:14" x14ac:dyDescent="0.2">
      <c r="A13" s="2" t="s">
        <v>21</v>
      </c>
      <c r="B13" s="2"/>
      <c r="C13" s="2"/>
      <c r="D13" s="2">
        <v>1</v>
      </c>
      <c r="E13" s="2"/>
      <c r="F13" s="2"/>
      <c r="G13" s="2"/>
      <c r="H13" s="2">
        <v>1</v>
      </c>
      <c r="I13" s="2"/>
      <c r="J13" s="2">
        <v>1</v>
      </c>
      <c r="L13" s="3">
        <f>SUMPRODUCT($B$5:$J$5,B13:J13)</f>
        <v>0</v>
      </c>
      <c r="M13" s="2">
        <v>200</v>
      </c>
    </row>
    <row r="14" spans="1:14" x14ac:dyDescent="0.2">
      <c r="A14" s="2" t="s">
        <v>22</v>
      </c>
      <c r="B14" s="2"/>
      <c r="C14" s="2"/>
      <c r="D14" s="2"/>
      <c r="E14" s="2">
        <v>1</v>
      </c>
      <c r="F14" s="2"/>
      <c r="G14" s="2"/>
      <c r="H14" s="2"/>
      <c r="I14" s="2">
        <v>1</v>
      </c>
      <c r="J14" s="2">
        <v>1</v>
      </c>
      <c r="L14" s="3">
        <f>E14+I14+J14+E6-I6-J6</f>
        <v>6</v>
      </c>
      <c r="M14" s="2">
        <v>0</v>
      </c>
    </row>
    <row r="16" spans="1:14" x14ac:dyDescent="0.2">
      <c r="M16" s="6" t="s">
        <v>17</v>
      </c>
      <c r="N16" s="6"/>
    </row>
    <row r="17" spans="2:14" ht="14.25" customHeight="1" x14ac:dyDescent="0.2">
      <c r="B17" s="1" t="s">
        <v>27</v>
      </c>
      <c r="F17" s="1" t="s">
        <v>28</v>
      </c>
      <c r="M17" s="6"/>
      <c r="N17" s="6"/>
    </row>
    <row r="18" spans="2:14" x14ac:dyDescent="0.2">
      <c r="B18" s="1" t="s">
        <v>25</v>
      </c>
      <c r="C18" s="1">
        <v>400</v>
      </c>
      <c r="F18" s="1" t="s">
        <v>29</v>
      </c>
      <c r="G18" s="1">
        <v>300</v>
      </c>
    </row>
    <row r="19" spans="2:14" x14ac:dyDescent="0.2">
      <c r="B19" s="1" t="s">
        <v>26</v>
      </c>
      <c r="C19" s="1">
        <v>500</v>
      </c>
      <c r="E19" s="1" t="s">
        <v>36</v>
      </c>
      <c r="F19" s="1" t="s">
        <v>31</v>
      </c>
      <c r="G19" s="1">
        <v>400</v>
      </c>
    </row>
    <row r="20" spans="2:14" x14ac:dyDescent="0.2">
      <c r="F20" s="1" t="s">
        <v>30</v>
      </c>
      <c r="G20" s="1">
        <v>200</v>
      </c>
    </row>
  </sheetData>
  <mergeCells count="1">
    <mergeCell ref="M16:N17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09A7E-930D-43AC-81E0-C6892680BB6E}">
  <dimension ref="A1:S17"/>
  <sheetViews>
    <sheetView workbookViewId="0">
      <selection activeCell="R7" sqref="R7:S7"/>
    </sheetView>
  </sheetViews>
  <sheetFormatPr defaultRowHeight="15" x14ac:dyDescent="0.25"/>
  <cols>
    <col min="1" max="1" width="13.140625" customWidth="1"/>
    <col min="8" max="8" width="14.28515625" bestFit="1" customWidth="1"/>
    <col min="18" max="18" width="14.28515625" bestFit="1" customWidth="1"/>
    <col min="19" max="19" width="13.7109375" customWidth="1"/>
  </cols>
  <sheetData>
    <row r="1" spans="1:19" x14ac:dyDescent="0.25">
      <c r="B1" t="s">
        <v>40</v>
      </c>
    </row>
    <row r="2" spans="1:19" x14ac:dyDescent="0.25">
      <c r="A2" s="1" t="s">
        <v>10</v>
      </c>
    </row>
    <row r="3" spans="1:19" x14ac:dyDescent="0.25">
      <c r="B3" s="1"/>
      <c r="C3" s="1"/>
      <c r="D3" s="1"/>
      <c r="E3" s="1"/>
    </row>
    <row r="4" spans="1:19" x14ac:dyDescent="0.25">
      <c r="A4" s="2"/>
      <c r="B4" s="2" t="s">
        <v>0</v>
      </c>
      <c r="C4" s="2" t="s">
        <v>1</v>
      </c>
      <c r="D4" s="2" t="s">
        <v>2</v>
      </c>
      <c r="E4" s="2" t="s">
        <v>15</v>
      </c>
      <c r="F4" s="7" t="s">
        <v>3</v>
      </c>
      <c r="G4" s="7" t="s">
        <v>4</v>
      </c>
      <c r="H4" s="7" t="s">
        <v>5</v>
      </c>
      <c r="I4" s="7" t="s">
        <v>16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43</v>
      </c>
      <c r="O4" s="7" t="s">
        <v>44</v>
      </c>
      <c r="P4" s="7" t="s">
        <v>45</v>
      </c>
      <c r="Q4" s="7" t="s">
        <v>46</v>
      </c>
    </row>
    <row r="5" spans="1:19" x14ac:dyDescent="0.25">
      <c r="A5" s="1"/>
      <c r="B5" s="3">
        <v>0</v>
      </c>
      <c r="C5" s="3">
        <v>0</v>
      </c>
      <c r="D5" s="3">
        <v>0</v>
      </c>
      <c r="E5" s="3">
        <v>1</v>
      </c>
      <c r="F5" s="3">
        <v>0</v>
      </c>
      <c r="G5" s="3">
        <v>0</v>
      </c>
      <c r="H5" s="3">
        <v>1</v>
      </c>
      <c r="I5" s="3">
        <v>0</v>
      </c>
      <c r="J5" s="3">
        <v>1</v>
      </c>
      <c r="K5" s="3">
        <v>0</v>
      </c>
      <c r="L5" s="3">
        <v>0</v>
      </c>
      <c r="M5" s="3">
        <v>0</v>
      </c>
      <c r="N5" s="3">
        <v>0</v>
      </c>
      <c r="O5" s="3">
        <v>1</v>
      </c>
      <c r="P5" s="3">
        <v>0</v>
      </c>
      <c r="Q5" s="3">
        <v>0</v>
      </c>
    </row>
    <row r="6" spans="1:19" x14ac:dyDescent="0.25">
      <c r="A6" s="2" t="s">
        <v>41</v>
      </c>
      <c r="B6" s="2">
        <v>13</v>
      </c>
      <c r="C6" s="2">
        <v>12</v>
      </c>
      <c r="D6" s="2">
        <v>17</v>
      </c>
      <c r="E6" s="2">
        <v>32</v>
      </c>
      <c r="F6" s="2">
        <v>9</v>
      </c>
      <c r="G6" s="2">
        <v>7</v>
      </c>
      <c r="H6" s="2">
        <v>10</v>
      </c>
      <c r="I6" s="2">
        <v>19</v>
      </c>
      <c r="J6" s="2">
        <v>11</v>
      </c>
      <c r="K6" s="2">
        <v>9</v>
      </c>
      <c r="L6" s="2">
        <v>10</v>
      </c>
      <c r="M6" s="2">
        <v>26</v>
      </c>
      <c r="N6" s="2">
        <v>7</v>
      </c>
      <c r="O6" s="2">
        <v>8</v>
      </c>
      <c r="P6" s="2">
        <v>9</v>
      </c>
      <c r="Q6" s="2">
        <v>24</v>
      </c>
    </row>
    <row r="7" spans="1:19" x14ac:dyDescent="0.25">
      <c r="R7" s="2" t="s">
        <v>6</v>
      </c>
      <c r="S7" s="3">
        <f>SUMPRODUCT(B5:Q5,B6:Q6)</f>
        <v>61</v>
      </c>
    </row>
    <row r="9" spans="1:19" x14ac:dyDescent="0.25">
      <c r="A9" s="1" t="s">
        <v>7</v>
      </c>
      <c r="B9" s="1"/>
      <c r="C9" s="1"/>
      <c r="D9" s="1"/>
      <c r="E9" s="1"/>
      <c r="F9" s="1"/>
      <c r="G9" s="1"/>
      <c r="R9" t="s">
        <v>55</v>
      </c>
      <c r="S9" s="1" t="s">
        <v>42</v>
      </c>
    </row>
    <row r="10" spans="1:19" x14ac:dyDescent="0.25">
      <c r="A10" s="2" t="s">
        <v>47</v>
      </c>
      <c r="B10" s="2">
        <v>1</v>
      </c>
      <c r="C10" s="2"/>
      <c r="D10" s="2"/>
      <c r="E10" s="2"/>
      <c r="F10" s="2">
        <v>1</v>
      </c>
      <c r="G10" s="2"/>
      <c r="H10" s="2"/>
      <c r="I10" s="2"/>
      <c r="J10" s="2">
        <v>1</v>
      </c>
      <c r="K10" s="2"/>
      <c r="L10" s="2"/>
      <c r="M10" s="2"/>
      <c r="N10" s="2">
        <v>1</v>
      </c>
      <c r="O10" s="2"/>
      <c r="P10" s="2"/>
      <c r="Q10" s="2"/>
      <c r="R10" s="8">
        <f>SUMPRODUCT($B$5:$Q$5,B10:Q10)</f>
        <v>1</v>
      </c>
      <c r="S10" s="2">
        <v>1</v>
      </c>
    </row>
    <row r="11" spans="1:19" x14ac:dyDescent="0.25">
      <c r="A11" s="2" t="s">
        <v>48</v>
      </c>
      <c r="B11" s="2"/>
      <c r="C11" s="2">
        <v>1</v>
      </c>
      <c r="D11" s="2"/>
      <c r="E11" s="2"/>
      <c r="F11" s="2"/>
      <c r="G11" s="2">
        <v>1</v>
      </c>
      <c r="H11" s="2"/>
      <c r="I11" s="2"/>
      <c r="J11" s="2"/>
      <c r="K11" s="2">
        <v>1</v>
      </c>
      <c r="L11" s="2"/>
      <c r="M11" s="2"/>
      <c r="N11" s="2"/>
      <c r="O11" s="2">
        <v>1</v>
      </c>
      <c r="P11" s="2"/>
      <c r="Q11" s="2"/>
      <c r="R11" s="8">
        <f t="shared" ref="R11:R17" si="0">SUMPRODUCT($B$5:$Q$5,B11:Q11)</f>
        <v>1</v>
      </c>
      <c r="S11" s="2">
        <v>1</v>
      </c>
    </row>
    <row r="12" spans="1:19" x14ac:dyDescent="0.25">
      <c r="A12" s="2" t="s">
        <v>49</v>
      </c>
      <c r="B12" s="2"/>
      <c r="C12" s="2"/>
      <c r="D12" s="2">
        <v>1</v>
      </c>
      <c r="E12" s="2"/>
      <c r="F12" s="2"/>
      <c r="G12" s="2"/>
      <c r="H12" s="2">
        <v>1</v>
      </c>
      <c r="I12" s="2"/>
      <c r="J12" s="2"/>
      <c r="K12" s="2"/>
      <c r="L12" s="2">
        <v>1</v>
      </c>
      <c r="M12" s="2"/>
      <c r="N12" s="2"/>
      <c r="O12" s="2"/>
      <c r="P12" s="2">
        <v>1</v>
      </c>
      <c r="Q12" s="2"/>
      <c r="R12" s="8">
        <f>SUMPRODUCT($B$5:$Q$5,B12:Q12)</f>
        <v>1</v>
      </c>
      <c r="S12" s="2">
        <v>1</v>
      </c>
    </row>
    <row r="13" spans="1:19" x14ac:dyDescent="0.25">
      <c r="A13" s="2" t="s">
        <v>50</v>
      </c>
      <c r="B13" s="2"/>
      <c r="C13" s="2"/>
      <c r="D13" s="2"/>
      <c r="E13" s="2">
        <v>1</v>
      </c>
      <c r="F13" s="2"/>
      <c r="G13" s="2"/>
      <c r="H13" s="2"/>
      <c r="I13" s="2"/>
      <c r="J13" s="2"/>
      <c r="K13" s="2"/>
      <c r="L13" s="2"/>
      <c r="M13" s="2">
        <v>1</v>
      </c>
      <c r="N13" s="2"/>
      <c r="O13" s="2"/>
      <c r="P13" s="2"/>
      <c r="Q13" s="2">
        <v>1</v>
      </c>
      <c r="R13" s="8">
        <f t="shared" si="0"/>
        <v>1</v>
      </c>
      <c r="S13" s="2">
        <v>1</v>
      </c>
    </row>
    <row r="14" spans="1:19" x14ac:dyDescent="0.25">
      <c r="A14" s="2" t="s">
        <v>51</v>
      </c>
      <c r="B14" s="2">
        <v>1</v>
      </c>
      <c r="C14" s="2">
        <v>1</v>
      </c>
      <c r="D14" s="2">
        <v>1</v>
      </c>
      <c r="E14" s="2">
        <v>1</v>
      </c>
      <c r="F14" s="2"/>
      <c r="G14" s="2"/>
      <c r="H14" s="2"/>
      <c r="I14" s="2">
        <v>1</v>
      </c>
      <c r="J14" s="2"/>
      <c r="K14" s="2"/>
      <c r="L14" s="2"/>
      <c r="M14" s="2"/>
      <c r="N14" s="2"/>
      <c r="O14" s="2"/>
      <c r="P14" s="2"/>
      <c r="Q14" s="2"/>
      <c r="R14" s="8">
        <f t="shared" si="0"/>
        <v>1</v>
      </c>
      <c r="S14" s="2">
        <v>1</v>
      </c>
    </row>
    <row r="15" spans="1:19" x14ac:dyDescent="0.25">
      <c r="A15" s="2" t="s">
        <v>52</v>
      </c>
      <c r="B15" s="2"/>
      <c r="C15" s="2"/>
      <c r="D15" s="2"/>
      <c r="E15" s="2"/>
      <c r="F15" s="2">
        <v>1</v>
      </c>
      <c r="G15" s="2">
        <v>1</v>
      </c>
      <c r="H15" s="2">
        <v>1</v>
      </c>
      <c r="I15" s="2">
        <v>1</v>
      </c>
      <c r="J15" s="2"/>
      <c r="K15" s="2"/>
      <c r="L15" s="2"/>
      <c r="M15" s="2"/>
      <c r="N15" s="2"/>
      <c r="O15" s="2"/>
      <c r="P15" s="2"/>
      <c r="Q15" s="2"/>
      <c r="R15" s="8">
        <f t="shared" si="0"/>
        <v>1</v>
      </c>
      <c r="S15" s="2">
        <v>1</v>
      </c>
    </row>
    <row r="16" spans="1:19" x14ac:dyDescent="0.25">
      <c r="A16" s="2" t="s">
        <v>53</v>
      </c>
      <c r="B16" s="2"/>
      <c r="C16" s="2"/>
      <c r="D16" s="2"/>
      <c r="E16" s="2"/>
      <c r="F16" s="2"/>
      <c r="G16" s="2"/>
      <c r="H16" s="2"/>
      <c r="I16" s="2"/>
      <c r="J16" s="2">
        <v>1</v>
      </c>
      <c r="K16" s="2">
        <v>1</v>
      </c>
      <c r="L16" s="2">
        <v>1</v>
      </c>
      <c r="M16" s="2">
        <v>1</v>
      </c>
      <c r="N16" s="2"/>
      <c r="O16" s="2"/>
      <c r="P16" s="2"/>
      <c r="Q16" s="2"/>
      <c r="R16" s="8">
        <f t="shared" si="0"/>
        <v>1</v>
      </c>
      <c r="S16" s="2">
        <v>1</v>
      </c>
    </row>
    <row r="17" spans="1:19" x14ac:dyDescent="0.25">
      <c r="A17" s="2" t="s">
        <v>54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>
        <v>1</v>
      </c>
      <c r="O17" s="2">
        <v>1</v>
      </c>
      <c r="P17" s="2">
        <v>1</v>
      </c>
      <c r="Q17" s="2">
        <v>1</v>
      </c>
      <c r="R17" s="8">
        <f t="shared" si="0"/>
        <v>1</v>
      </c>
      <c r="S17" s="2">
        <v>1</v>
      </c>
    </row>
  </sheetData>
  <pageMargins left="0.511811024" right="0.511811024" top="0.78740157499999996" bottom="0.78740157499999996" header="0.31496062000000002" footer="0.31496062000000002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F941-1AAA-427E-86CB-31EE8BB48701}">
  <dimension ref="A2:M12"/>
  <sheetViews>
    <sheetView workbookViewId="0">
      <selection activeCell="G30" sqref="G30"/>
    </sheetView>
  </sheetViews>
  <sheetFormatPr defaultRowHeight="15" x14ac:dyDescent="0.25"/>
  <cols>
    <col min="1" max="1" width="11.42578125" bestFit="1" customWidth="1"/>
  </cols>
  <sheetData>
    <row r="2" spans="1:13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11</v>
      </c>
      <c r="I2" t="s">
        <v>12</v>
      </c>
      <c r="J2" t="s">
        <v>13</v>
      </c>
    </row>
    <row r="3" spans="1:13" x14ac:dyDescent="0.25">
      <c r="B3" s="9">
        <v>0</v>
      </c>
      <c r="C3" s="9">
        <v>1</v>
      </c>
      <c r="D3" s="9">
        <v>0</v>
      </c>
      <c r="E3" s="9">
        <v>1</v>
      </c>
      <c r="F3" s="9">
        <v>0</v>
      </c>
      <c r="G3" s="9">
        <v>0</v>
      </c>
      <c r="H3" s="9">
        <v>0</v>
      </c>
      <c r="I3" s="9">
        <v>0</v>
      </c>
      <c r="J3" s="9">
        <v>1</v>
      </c>
    </row>
    <row r="4" spans="1:13" x14ac:dyDescent="0.25">
      <c r="A4" t="s">
        <v>56</v>
      </c>
      <c r="B4">
        <v>10</v>
      </c>
      <c r="C4">
        <v>15</v>
      </c>
      <c r="D4">
        <v>9</v>
      </c>
      <c r="E4">
        <v>9</v>
      </c>
      <c r="F4">
        <v>18</v>
      </c>
      <c r="G4">
        <v>5</v>
      </c>
      <c r="H4">
        <v>7</v>
      </c>
      <c r="I4">
        <v>14</v>
      </c>
      <c r="J4">
        <v>3</v>
      </c>
      <c r="L4" s="2" t="s">
        <v>6</v>
      </c>
      <c r="M4" s="3">
        <f>SUMPRODUCT(B3:J3,B4:J4)</f>
        <v>27</v>
      </c>
    </row>
    <row r="6" spans="1:13" x14ac:dyDescent="0.25">
      <c r="A6" t="s">
        <v>57</v>
      </c>
      <c r="K6" t="s">
        <v>55</v>
      </c>
      <c r="L6" t="s">
        <v>64</v>
      </c>
    </row>
    <row r="7" spans="1:13" x14ac:dyDescent="0.25">
      <c r="A7" t="s">
        <v>58</v>
      </c>
      <c r="B7">
        <v>1</v>
      </c>
      <c r="E7">
        <v>1</v>
      </c>
      <c r="H7">
        <v>1</v>
      </c>
      <c r="K7">
        <f>SUMPRODUCT(B7:J7,$B$3:$J$3)</f>
        <v>1</v>
      </c>
      <c r="L7">
        <v>1</v>
      </c>
    </row>
    <row r="8" spans="1:13" x14ac:dyDescent="0.25">
      <c r="A8" t="s">
        <v>59</v>
      </c>
      <c r="C8">
        <v>1</v>
      </c>
      <c r="F8">
        <v>1</v>
      </c>
      <c r="I8">
        <v>1</v>
      </c>
      <c r="K8">
        <f>SUMPRODUCT(B8:J8,$B$3:$J$3)</f>
        <v>1</v>
      </c>
      <c r="L8">
        <v>1</v>
      </c>
    </row>
    <row r="9" spans="1:13" x14ac:dyDescent="0.25">
      <c r="A9" t="s">
        <v>60</v>
      </c>
      <c r="D9">
        <v>1</v>
      </c>
      <c r="G9">
        <v>1</v>
      </c>
      <c r="J9">
        <v>1</v>
      </c>
      <c r="K9">
        <f>SUMPRODUCT(B9:J9,$B$3:$J$3)</f>
        <v>1</v>
      </c>
      <c r="L9">
        <v>1</v>
      </c>
    </row>
    <row r="10" spans="1:13" x14ac:dyDescent="0.25">
      <c r="A10" t="s">
        <v>61</v>
      </c>
      <c r="B10">
        <v>1</v>
      </c>
      <c r="C10">
        <v>1</v>
      </c>
      <c r="D10">
        <v>1</v>
      </c>
      <c r="K10">
        <f>SUMPRODUCT(B10:J10,$B$3:$J$3)</f>
        <v>1</v>
      </c>
      <c r="L10">
        <v>1</v>
      </c>
    </row>
    <row r="11" spans="1:13" x14ac:dyDescent="0.25">
      <c r="A11" t="s">
        <v>62</v>
      </c>
      <c r="E11">
        <v>1</v>
      </c>
      <c r="F11">
        <v>1</v>
      </c>
      <c r="G11">
        <v>1</v>
      </c>
      <c r="K11">
        <f>SUMPRODUCT(B11:J11,$B$3:$J$3)</f>
        <v>1</v>
      </c>
      <c r="L11">
        <v>1</v>
      </c>
    </row>
    <row r="12" spans="1:13" x14ac:dyDescent="0.25">
      <c r="A12" t="s">
        <v>63</v>
      </c>
      <c r="H12">
        <v>1</v>
      </c>
      <c r="I12">
        <v>1</v>
      </c>
      <c r="J12">
        <v>1</v>
      </c>
      <c r="K12">
        <f>SUMPRODUCT(B12:J12,$B$3:$J$3)</f>
        <v>1</v>
      </c>
      <c r="L12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66CF-B02A-4DA2-81AD-9FA46C579E2D}">
  <dimension ref="A1:P13"/>
  <sheetViews>
    <sheetView tabSelected="1" workbookViewId="0">
      <selection activeCell="M16" sqref="M16"/>
    </sheetView>
  </sheetViews>
  <sheetFormatPr defaultRowHeight="15" x14ac:dyDescent="0.25"/>
  <cols>
    <col min="1" max="1" width="15.42578125" customWidth="1"/>
  </cols>
  <sheetData>
    <row r="1" spans="1:16" x14ac:dyDescent="0.25">
      <c r="B1" s="2" t="s">
        <v>65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71</v>
      </c>
      <c r="I1" s="2" t="s">
        <v>72</v>
      </c>
      <c r="J1" s="2" t="s">
        <v>73</v>
      </c>
      <c r="K1" s="2" t="s">
        <v>74</v>
      </c>
      <c r="L1" s="2" t="s">
        <v>75</v>
      </c>
      <c r="M1" s="2" t="s">
        <v>76</v>
      </c>
    </row>
    <row r="2" spans="1:16" x14ac:dyDescent="0.25">
      <c r="B2" s="3">
        <v>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1</v>
      </c>
      <c r="L2" s="3">
        <v>1</v>
      </c>
      <c r="M2" s="3">
        <v>1</v>
      </c>
      <c r="O2" s="2" t="s">
        <v>6</v>
      </c>
      <c r="P2" s="3">
        <f>SUMPRODUCT(B2:M2,B3:M3)</f>
        <v>200</v>
      </c>
    </row>
    <row r="3" spans="1:16" x14ac:dyDescent="0.25">
      <c r="A3" s="2" t="s">
        <v>77</v>
      </c>
      <c r="B3" s="2">
        <v>15</v>
      </c>
      <c r="C3" s="2">
        <v>61</v>
      </c>
      <c r="D3" s="2">
        <v>33</v>
      </c>
      <c r="E3" s="2">
        <v>94</v>
      </c>
      <c r="F3" s="2">
        <v>21</v>
      </c>
      <c r="G3" s="2">
        <v>58</v>
      </c>
      <c r="H3" s="2">
        <v>40</v>
      </c>
      <c r="I3" s="2">
        <v>86</v>
      </c>
      <c r="J3" s="2">
        <v>19</v>
      </c>
      <c r="K3" s="2">
        <v>68</v>
      </c>
      <c r="L3" s="2">
        <v>27</v>
      </c>
      <c r="M3" s="2">
        <v>90</v>
      </c>
    </row>
    <row r="5" spans="1:16" x14ac:dyDescent="0.25">
      <c r="A5" s="10" t="s">
        <v>78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t="s">
        <v>55</v>
      </c>
      <c r="O5" t="s">
        <v>64</v>
      </c>
    </row>
    <row r="6" spans="1:16" x14ac:dyDescent="0.25">
      <c r="A6" s="2" t="s">
        <v>79</v>
      </c>
      <c r="B6" s="2">
        <v>32</v>
      </c>
      <c r="C6" s="2">
        <v>57</v>
      </c>
      <c r="D6" s="2">
        <v>17</v>
      </c>
      <c r="E6" s="2">
        <v>1</v>
      </c>
      <c r="F6" s="2"/>
      <c r="G6" s="2"/>
      <c r="H6" s="2"/>
      <c r="I6" s="2"/>
      <c r="J6" s="2"/>
      <c r="K6" s="2"/>
      <c r="L6" s="2"/>
      <c r="M6" s="2"/>
      <c r="N6" s="2">
        <f>SUMPRODUCT($B$2:$M$2,B6:M6)</f>
        <v>32</v>
      </c>
      <c r="O6" s="2">
        <f>32+57+17+56</f>
        <v>162</v>
      </c>
    </row>
    <row r="7" spans="1:16" x14ac:dyDescent="0.25">
      <c r="A7" s="2" t="s">
        <v>80</v>
      </c>
      <c r="B7" s="2"/>
      <c r="C7" s="2"/>
      <c r="D7" s="2"/>
      <c r="E7" s="2"/>
      <c r="F7" s="2">
        <v>1</v>
      </c>
      <c r="G7" s="2">
        <v>1</v>
      </c>
      <c r="H7" s="2">
        <v>1</v>
      </c>
      <c r="I7" s="2">
        <v>1</v>
      </c>
      <c r="J7" s="2"/>
      <c r="K7" s="2"/>
      <c r="L7" s="2"/>
      <c r="M7" s="2"/>
      <c r="N7" s="2">
        <f t="shared" ref="N7:N13" si="0">SUMPRODUCT($B$2:$M$2,B7:M7)</f>
        <v>0</v>
      </c>
      <c r="O7" s="2">
        <f>27+50+22+48</f>
        <v>147</v>
      </c>
    </row>
    <row r="8" spans="1:16" x14ac:dyDescent="0.25">
      <c r="A8" s="2" t="s">
        <v>81</v>
      </c>
      <c r="B8" s="2"/>
      <c r="C8" s="2"/>
      <c r="D8" s="2"/>
      <c r="E8" s="2"/>
      <c r="F8" s="2"/>
      <c r="G8" s="2"/>
      <c r="H8" s="2"/>
      <c r="I8" s="2"/>
      <c r="J8" s="2">
        <v>1</v>
      </c>
      <c r="K8" s="2">
        <v>1</v>
      </c>
      <c r="L8" s="2">
        <v>1</v>
      </c>
      <c r="M8" s="2">
        <v>1</v>
      </c>
      <c r="N8" s="2">
        <f t="shared" si="0"/>
        <v>3</v>
      </c>
      <c r="O8" s="2">
        <f>18+45+13+60</f>
        <v>136</v>
      </c>
    </row>
    <row r="9" spans="1:16" x14ac:dyDescent="0.25">
      <c r="A9" s="2" t="s">
        <v>82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f t="shared" si="0"/>
        <v>4</v>
      </c>
      <c r="O9" s="2">
        <v>120</v>
      </c>
    </row>
    <row r="10" spans="1:16" x14ac:dyDescent="0.25">
      <c r="A10" s="2" t="s">
        <v>83</v>
      </c>
      <c r="B10" s="2">
        <v>1</v>
      </c>
      <c r="C10" s="2"/>
      <c r="D10" s="2"/>
      <c r="E10" s="2"/>
      <c r="F10" s="2">
        <v>1</v>
      </c>
      <c r="G10" s="2"/>
      <c r="H10" s="2"/>
      <c r="I10" s="2"/>
      <c r="J10" s="2">
        <v>1</v>
      </c>
      <c r="K10" s="2"/>
      <c r="L10" s="2"/>
      <c r="M10" s="2"/>
      <c r="N10" s="2">
        <f>SUMPRODUCT($B$2:$M$2,B10:M10)</f>
        <v>1</v>
      </c>
      <c r="O10" s="2">
        <v>1</v>
      </c>
    </row>
    <row r="11" spans="1:16" x14ac:dyDescent="0.25">
      <c r="A11" s="2" t="s">
        <v>84</v>
      </c>
      <c r="B11" s="2"/>
      <c r="C11" s="2">
        <v>1</v>
      </c>
      <c r="D11" s="2"/>
      <c r="E11" s="2"/>
      <c r="F11" s="2"/>
      <c r="G11" s="2">
        <v>1</v>
      </c>
      <c r="H11" s="2"/>
      <c r="I11" s="2"/>
      <c r="J11" s="2"/>
      <c r="K11" s="2">
        <v>1</v>
      </c>
      <c r="L11" s="2"/>
      <c r="M11" s="2"/>
      <c r="N11" s="2">
        <f t="shared" si="0"/>
        <v>1</v>
      </c>
      <c r="O11" s="2">
        <v>1</v>
      </c>
    </row>
    <row r="12" spans="1:16" x14ac:dyDescent="0.25">
      <c r="A12" s="2" t="s">
        <v>85</v>
      </c>
      <c r="B12" s="2"/>
      <c r="C12" s="2"/>
      <c r="D12" s="2">
        <v>1</v>
      </c>
      <c r="E12" s="2"/>
      <c r="F12" s="2"/>
      <c r="G12" s="2"/>
      <c r="H12" s="2">
        <v>1</v>
      </c>
      <c r="I12" s="2"/>
      <c r="J12" s="2"/>
      <c r="K12" s="2"/>
      <c r="L12" s="2">
        <v>1</v>
      </c>
      <c r="M12" s="2"/>
      <c r="N12" s="2">
        <f t="shared" si="0"/>
        <v>1</v>
      </c>
      <c r="O12" s="2">
        <v>1</v>
      </c>
    </row>
    <row r="13" spans="1:16" x14ac:dyDescent="0.25">
      <c r="A13" s="2" t="s">
        <v>86</v>
      </c>
      <c r="B13" s="2"/>
      <c r="C13" s="2"/>
      <c r="D13" s="2"/>
      <c r="E13" s="2">
        <v>1</v>
      </c>
      <c r="F13" s="2"/>
      <c r="G13" s="2"/>
      <c r="H13" s="2"/>
      <c r="I13" s="2">
        <v>1</v>
      </c>
      <c r="J13" s="2"/>
      <c r="K13" s="2"/>
      <c r="L13" s="2"/>
      <c r="M13" s="2">
        <v>1</v>
      </c>
      <c r="N13" s="2">
        <f t="shared" si="0"/>
        <v>1</v>
      </c>
      <c r="O13" s="2">
        <v>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Ex1- De Transbordo</vt:lpstr>
      <vt:lpstr>Ex2- De Problemas de Transporte</vt:lpstr>
      <vt:lpstr>Ex3</vt:lpstr>
      <vt:lpstr>Ex4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2026-10-07T22:28:28Z</dcterms:created>
  <dcterms:modified xsi:type="dcterms:W3CDTF">2026-10-29T01:07:12Z</dcterms:modified>
</cp:coreProperties>
</file>