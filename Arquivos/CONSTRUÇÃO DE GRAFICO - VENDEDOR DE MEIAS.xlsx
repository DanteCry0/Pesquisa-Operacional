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ml.chartshapes+xml"/>
  <Override PartName="/xl/drawings/drawing5.xml" ContentType="application/vnd.openxmlformats-officedocument.drawing+xml"/>
  <Override PartName="/xl/tables/table3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6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atec\Downloads\"/>
    </mc:Choice>
  </mc:AlternateContent>
  <xr:revisionPtr revIDLastSave="0" documentId="13_ncr:1_{261DF0EB-B06B-4E88-B748-283046F253EE}" xr6:coauthVersionLast="36" xr6:coauthVersionMax="36" xr10:uidLastSave="{00000000-0000-0000-0000-000000000000}"/>
  <bookViews>
    <workbookView xWindow="0" yWindow="0" windowWidth="28800" windowHeight="12105" activeTab="2" xr2:uid="{8AC3BFE0-796C-44EF-8B5F-5E49284BBC29}"/>
  </bookViews>
  <sheets>
    <sheet name="MEIAS" sheetId="1" r:id="rId1"/>
    <sheet name="MARCENARIA" sheetId="3" r:id="rId2"/>
    <sheet name="FABRICA DE BRINQUEDOS" sheetId="4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" i="4" l="1"/>
  <c r="F3" i="4"/>
  <c r="F4" i="4"/>
  <c r="F5" i="4"/>
  <c r="F6" i="4"/>
  <c r="F7" i="4"/>
  <c r="F8" i="4"/>
  <c r="C8" i="4"/>
  <c r="D8" i="4"/>
  <c r="E8" i="4"/>
  <c r="E6" i="4"/>
  <c r="C6" i="4"/>
  <c r="C7" i="4"/>
  <c r="E7" i="4"/>
  <c r="D6" i="4"/>
  <c r="D7" i="4"/>
  <c r="D5" i="4"/>
  <c r="E2" i="4"/>
  <c r="E3" i="4"/>
  <c r="E4" i="4"/>
  <c r="E5" i="4"/>
  <c r="D2" i="4"/>
  <c r="D3" i="4"/>
  <c r="D4" i="4"/>
  <c r="C2" i="4"/>
  <c r="C3" i="4"/>
  <c r="C4" i="4"/>
  <c r="C5" i="4"/>
  <c r="E2" i="3" l="1"/>
  <c r="E3" i="3"/>
  <c r="E4" i="3"/>
  <c r="E5" i="3"/>
  <c r="E6" i="3"/>
  <c r="D2" i="3"/>
  <c r="D3" i="3"/>
  <c r="D4" i="3"/>
  <c r="D5" i="3"/>
  <c r="D6" i="3"/>
  <c r="C3" i="3"/>
  <c r="C4" i="3"/>
  <c r="C5" i="3"/>
  <c r="C6" i="3"/>
  <c r="C2" i="3"/>
  <c r="E3" i="1"/>
  <c r="E4" i="1"/>
  <c r="E5" i="1"/>
  <c r="E6" i="1"/>
  <c r="D3" i="1"/>
  <c r="D4" i="1"/>
  <c r="D5" i="1"/>
  <c r="D6" i="1"/>
  <c r="C6" i="1"/>
  <c r="C3" i="1"/>
  <c r="C4" i="1"/>
  <c r="C5" i="1"/>
  <c r="C2" i="1"/>
  <c r="E2" i="1"/>
  <c r="D2" i="1"/>
</calcChain>
</file>

<file path=xl/sharedStrings.xml><?xml version="1.0" encoding="utf-8"?>
<sst xmlns="http://schemas.openxmlformats.org/spreadsheetml/2006/main" count="29" uniqueCount="25">
  <si>
    <t>Função Objetivo</t>
  </si>
  <si>
    <t>Kit A</t>
  </si>
  <si>
    <t>Kit B</t>
  </si>
  <si>
    <t>R1 = Algodão</t>
  </si>
  <si>
    <t>R2 = Lã</t>
  </si>
  <si>
    <t>Mesa</t>
  </si>
  <si>
    <t>Armario</t>
  </si>
  <si>
    <t>B1</t>
  </si>
  <si>
    <t>B2</t>
  </si>
  <si>
    <t>R1 = Plastico</t>
  </si>
  <si>
    <t>R2 = M.O.</t>
  </si>
  <si>
    <t>VARIÁVEIS</t>
  </si>
  <si>
    <t>B1= QTD. DE BRINQUEDOS A SER PRODUZIDA</t>
  </si>
  <si>
    <t>B2= QTD. DE BRINQUEDOS A SER PRODUZIDA</t>
  </si>
  <si>
    <t xml:space="preserve">Função Objetivo = Max(Lucro) </t>
  </si>
  <si>
    <t>8*B1+5*B2</t>
  </si>
  <si>
    <t>RESTRIÇÕES</t>
  </si>
  <si>
    <t>PLASTICO</t>
  </si>
  <si>
    <t>MÃO DE OBRA</t>
  </si>
  <si>
    <t>2*B1+1B2 &lt;=1000 KG</t>
  </si>
  <si>
    <t>MKT</t>
  </si>
  <si>
    <t>B1+B2 &lt;=700</t>
  </si>
  <si>
    <t>3*B1+4*B2&lt;=2400MIN</t>
  </si>
  <si>
    <t>2400=40H</t>
  </si>
  <si>
    <t>R3=MKT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</si>
</sst>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5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FA7D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1" applyNumberFormat="0" applyAlignment="0" applyProtection="0"/>
    <xf numFmtId="0" fontId="4" fillId="5" borderId="1" applyNumberFormat="0" applyAlignment="0" applyProtection="0"/>
  </cellStyleXfs>
  <cellXfs count="20">
    <xf numFmtId="0" fontId="0" fillId="0" borderId="0" xfId="0"/>
    <xf numFmtId="164" fontId="0" fillId="0" borderId="0" xfId="0" applyNumberFormat="1"/>
    <xf numFmtId="164" fontId="1" fillId="2" borderId="0" xfId="1" applyNumberFormat="1"/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2" fillId="3" borderId="2" xfId="2" applyBorder="1" applyAlignment="1">
      <alignment horizontal="center"/>
    </xf>
    <xf numFmtId="0" fontId="3" fillId="4" borderId="1" xfId="3" applyAlignment="1">
      <alignment horizontal="center"/>
    </xf>
    <xf numFmtId="0" fontId="4" fillId="5" borderId="1" xfId="4" applyAlignment="1">
      <alignment horizontal="center"/>
    </xf>
    <xf numFmtId="0" fontId="0" fillId="0" borderId="0" xfId="0" applyNumberFormat="1"/>
    <xf numFmtId="0" fontId="0" fillId="6" borderId="0" xfId="0" applyFill="1"/>
    <xf numFmtId="0" fontId="0" fillId="6" borderId="3" xfId="0" applyFill="1" applyBorder="1"/>
    <xf numFmtId="0" fontId="0" fillId="6" borderId="4" xfId="0" applyFill="1" applyBorder="1"/>
    <xf numFmtId="0" fontId="0" fillId="6" borderId="5" xfId="0" applyFill="1" applyBorder="1"/>
    <xf numFmtId="0" fontId="0" fillId="6" borderId="6" xfId="0" applyFill="1" applyBorder="1"/>
    <xf numFmtId="0" fontId="0" fillId="7" borderId="0" xfId="0" applyFill="1"/>
    <xf numFmtId="0" fontId="0" fillId="7" borderId="3" xfId="0" applyFill="1" applyBorder="1"/>
    <xf numFmtId="0" fontId="0" fillId="7" borderId="4" xfId="0" applyFill="1" applyBorder="1"/>
    <xf numFmtId="0" fontId="0" fillId="7" borderId="5" xfId="0" applyFill="1" applyBorder="1"/>
    <xf numFmtId="0" fontId="0" fillId="7" borderId="6" xfId="0" applyFill="1" applyBorder="1"/>
    <xf numFmtId="0" fontId="0" fillId="8" borderId="0" xfId="0" applyFill="1"/>
  </cellXfs>
  <cellStyles count="5">
    <cellStyle name="Bom" xfId="1" builtinId="26"/>
    <cellStyle name="Cálculo" xfId="4" builtinId="22"/>
    <cellStyle name="Entrada" xfId="3" builtinId="20"/>
    <cellStyle name="Neutro" xfId="2" builtinId="28"/>
    <cellStyle name="Normal" xfId="0" builtinId="0"/>
  </cellStyles>
  <dxfs count="36">
    <dxf>
      <fill>
        <patternFill>
          <bgColor rgb="FFFF9999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fgColor auto="1"/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fgColor auto="1"/>
          <bgColor theme="9" tint="0.59996337778862885"/>
        </patternFill>
      </fill>
    </dxf>
    <dxf>
      <fill>
        <patternFill>
          <bgColor rgb="FFFF9999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fgColor auto="1"/>
          <bgColor theme="9" tint="0.59996337778862885"/>
        </patternFill>
      </fill>
    </dxf>
    <dxf>
      <fill>
        <patternFill>
          <bgColor rgb="FFFF9999"/>
        </patternFill>
      </fill>
    </dxf>
    <dxf>
      <numFmt numFmtId="0" formatCode="General"/>
    </dxf>
    <dxf>
      <fill>
        <patternFill>
          <bgColor theme="9" tint="0.59996337778862885"/>
        </patternFill>
      </fill>
    </dxf>
    <dxf>
      <fill>
        <patternFill patternType="solid">
          <fgColor auto="1"/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fgColor auto="1"/>
          <bgColor theme="9" tint="0.59996337778862885"/>
        </patternFill>
      </fill>
    </dxf>
    <dxf>
      <fill>
        <patternFill>
          <bgColor rgb="FFFF9999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fgColor auto="1"/>
          <bgColor theme="9" tint="0.59996337778862885"/>
        </patternFill>
      </fill>
    </dxf>
    <dxf>
      <fill>
        <patternFill>
          <bgColor rgb="FFFF9999"/>
        </patternFill>
      </fill>
    </dxf>
    <dxf>
      <fill>
        <patternFill>
          <fgColor theme="9" tint="0.59996337778862885"/>
        </patternFill>
      </fill>
    </dxf>
    <dxf>
      <fill>
        <patternFill>
          <bgColor rgb="FFFF9999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numFmt numFmtId="0" formatCode="General"/>
    </dxf>
    <dxf>
      <numFmt numFmtId="0" formatCode="General"/>
    </dxf>
    <dxf>
      <numFmt numFmtId="164" formatCode="&quot;R$&quot;\ #,##0.00"/>
    </dxf>
    <dxf>
      <numFmt numFmtId="0" formatCode="General"/>
    </dxf>
    <dxf>
      <numFmt numFmtId="0" formatCode="General"/>
    </dxf>
    <dxf>
      <numFmt numFmtId="164" formatCode="&quot;R$&quot;\ #,##0.00"/>
    </dxf>
    <dxf>
      <numFmt numFmtId="164" formatCode="&quot;R$&quot;\ #,##0.00"/>
    </dxf>
  </dxfs>
  <tableStyles count="0" defaultTableStyle="TableStyleMedium2" defaultPivotStyle="PivotStyleLight16"/>
  <colors>
    <mruColors>
      <color rgb="FFFF9999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4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Vendedor de Meias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MEIAS!$B$1</c:f>
              <c:strCache>
                <c:ptCount val="1"/>
                <c:pt idx="0">
                  <c:v>Kit B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MEIAS!$A$2:$A$5</c:f>
              <c:numCache>
                <c:formatCode>General</c:formatCode>
                <c:ptCount val="4"/>
                <c:pt idx="0">
                  <c:v>0</c:v>
                </c:pt>
                <c:pt idx="1">
                  <c:v>12</c:v>
                </c:pt>
                <c:pt idx="2">
                  <c:v>0</c:v>
                </c:pt>
                <c:pt idx="3">
                  <c:v>21</c:v>
                </c:pt>
              </c:numCache>
            </c:numRef>
          </c:xVal>
          <c:yVal>
            <c:numRef>
              <c:f>MEIAS!$B$2:$B$5</c:f>
              <c:numCache>
                <c:formatCode>General</c:formatCode>
                <c:ptCount val="4"/>
                <c:pt idx="0">
                  <c:v>12</c:v>
                </c:pt>
                <c:pt idx="1">
                  <c:v>0</c:v>
                </c:pt>
                <c:pt idx="2">
                  <c:v>10.5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2AC-4B21-9844-26671F615FBC}"/>
            </c:ext>
          </c:extLst>
        </c:ser>
        <c:dLbls>
          <c:dLblPos val="r"/>
          <c:showLegendKey val="0"/>
          <c:showVal val="1"/>
          <c:showCatName val="0"/>
          <c:showSerName val="0"/>
          <c:showPercent val="0"/>
          <c:showBubbleSize val="0"/>
        </c:dLbls>
        <c:axId val="812372704"/>
        <c:axId val="819850496"/>
      </c:scatterChart>
      <c:valAx>
        <c:axId val="812372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KIT 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19850496"/>
        <c:crosses val="autoZero"/>
        <c:crossBetween val="midCat"/>
        <c:majorUnit val="1"/>
      </c:valAx>
      <c:valAx>
        <c:axId val="819850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KIT B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12372704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Marcenaria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MARCENARIA!$B$1</c:f>
              <c:strCache>
                <c:ptCount val="1"/>
                <c:pt idx="0">
                  <c:v>Armario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MARCENARIA!$A$2:$A$5</c:f>
              <c:numCache>
                <c:formatCode>General</c:formatCode>
                <c:ptCount val="4"/>
                <c:pt idx="0">
                  <c:v>0</c:v>
                </c:pt>
                <c:pt idx="1">
                  <c:v>6</c:v>
                </c:pt>
                <c:pt idx="2">
                  <c:v>0</c:v>
                </c:pt>
                <c:pt idx="3">
                  <c:v>4</c:v>
                </c:pt>
              </c:numCache>
            </c:numRef>
          </c:xVal>
          <c:yVal>
            <c:numRef>
              <c:f>MARCENARIA!$B$2:$B$5</c:f>
              <c:numCache>
                <c:formatCode>General</c:formatCode>
                <c:ptCount val="4"/>
                <c:pt idx="0">
                  <c:v>4</c:v>
                </c:pt>
                <c:pt idx="1">
                  <c:v>0</c:v>
                </c:pt>
                <c:pt idx="2">
                  <c:v>8</c:v>
                </c:pt>
                <c:pt idx="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95D-4ED3-AA58-DFDB0DDC886F}"/>
            </c:ext>
          </c:extLst>
        </c:ser>
        <c:dLbls>
          <c:dLblPos val="r"/>
          <c:showLegendKey val="0"/>
          <c:showVal val="1"/>
          <c:showCatName val="0"/>
          <c:showSerName val="0"/>
          <c:showPercent val="0"/>
          <c:showBubbleSize val="0"/>
        </c:dLbls>
        <c:axId val="812372704"/>
        <c:axId val="819850496"/>
      </c:scatterChart>
      <c:valAx>
        <c:axId val="8123727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Mesa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19850496"/>
        <c:crosses val="autoZero"/>
        <c:crossBetween val="midCat"/>
        <c:majorUnit val="1"/>
      </c:valAx>
      <c:valAx>
        <c:axId val="819850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Armario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12372704"/>
        <c:crosses val="autoZero"/>
        <c:crossBetween val="midCat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BRINQUEDOS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'FABRICA DE BRINQUEDOS'!$B$1</c:f>
              <c:strCache>
                <c:ptCount val="1"/>
                <c:pt idx="0">
                  <c:v>B2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'FABRICA DE BRINQUEDOS'!$A$2:$A$8</c:f>
              <c:numCache>
                <c:formatCode>General</c:formatCode>
                <c:ptCount val="7"/>
                <c:pt idx="0">
                  <c:v>0</c:v>
                </c:pt>
                <c:pt idx="1">
                  <c:v>500</c:v>
                </c:pt>
                <c:pt idx="2">
                  <c:v>0</c:v>
                </c:pt>
                <c:pt idx="3">
                  <c:v>800</c:v>
                </c:pt>
                <c:pt idx="4">
                  <c:v>0</c:v>
                </c:pt>
                <c:pt idx="5">
                  <c:v>700</c:v>
                </c:pt>
                <c:pt idx="6">
                  <c:v>320</c:v>
                </c:pt>
              </c:numCache>
            </c:numRef>
          </c:xVal>
          <c:yVal>
            <c:numRef>
              <c:f>'FABRICA DE BRINQUEDOS'!$B$2:$B$8</c:f>
              <c:numCache>
                <c:formatCode>General</c:formatCode>
                <c:ptCount val="7"/>
                <c:pt idx="0">
                  <c:v>1000</c:v>
                </c:pt>
                <c:pt idx="1">
                  <c:v>0</c:v>
                </c:pt>
                <c:pt idx="2">
                  <c:v>600</c:v>
                </c:pt>
                <c:pt idx="3">
                  <c:v>0</c:v>
                </c:pt>
                <c:pt idx="4">
                  <c:v>700</c:v>
                </c:pt>
                <c:pt idx="5">
                  <c:v>0</c:v>
                </c:pt>
                <c:pt idx="6">
                  <c:v>360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B2D-4E6C-A597-134514F272BD}"/>
            </c:ext>
          </c:extLst>
        </c:ser>
        <c:dLbls>
          <c:dLblPos val="r"/>
          <c:showLegendKey val="0"/>
          <c:showVal val="1"/>
          <c:showCatName val="0"/>
          <c:showSerName val="0"/>
          <c:showPercent val="0"/>
          <c:showBubbleSize val="0"/>
        </c:dLbls>
        <c:axId val="812372704"/>
        <c:axId val="819850496"/>
      </c:scatterChart>
      <c:valAx>
        <c:axId val="812372704"/>
        <c:scaling>
          <c:orientation val="minMax"/>
          <c:max val="8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B1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19850496"/>
        <c:crosses val="autoZero"/>
        <c:crossBetween val="midCat"/>
        <c:majorUnit val="30"/>
      </c:valAx>
      <c:valAx>
        <c:axId val="819850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B2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12372704"/>
        <c:crosses val="autoZero"/>
        <c:crossBetween val="midCat"/>
        <c:majorUnit val="30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200024</xdr:colOff>
      <xdr:row>0</xdr:row>
      <xdr:rowOff>61911</xdr:rowOff>
    </xdr:from>
    <xdr:to>
      <xdr:col>15</xdr:col>
      <xdr:colOff>571500</xdr:colOff>
      <xdr:row>23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60CF9AF-73D2-4926-B966-6CD75233F3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0.08882</cdr:x>
      <cdr:y>0.17744</cdr:y>
    </cdr:from>
    <cdr:to>
      <cdr:x>0.55081</cdr:x>
      <cdr:y>0.86329</cdr:y>
    </cdr:to>
    <cdr:cxnSp macro="">
      <cdr:nvCxnSpPr>
        <cdr:cNvPr id="3" name="Conector reto 2">
          <a:extLst xmlns:a="http://schemas.openxmlformats.org/drawingml/2006/main">
            <a:ext uri="{FF2B5EF4-FFF2-40B4-BE49-F238E27FC236}">
              <a16:creationId xmlns:a16="http://schemas.microsoft.com/office/drawing/2014/main" id="{53B67C5C-88D4-4324-AB54-28342AD98FE6}"/>
            </a:ext>
          </a:extLst>
        </cdr:cNvPr>
        <cdr:cNvCxnSpPr/>
      </cdr:nvCxnSpPr>
      <cdr:spPr>
        <a:xfrm xmlns:a="http://schemas.openxmlformats.org/drawingml/2006/main">
          <a:off x="574448" y="766476"/>
          <a:ext cx="2987903" cy="2962563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0.08423</cdr:x>
      <cdr:y>0.25722</cdr:y>
    </cdr:from>
    <cdr:to>
      <cdr:x>0.89249</cdr:x>
      <cdr:y>0.86329</cdr:y>
    </cdr:to>
    <cdr:cxnSp macro="">
      <cdr:nvCxnSpPr>
        <cdr:cNvPr id="5" name="Conector reto 4">
          <a:extLst xmlns:a="http://schemas.openxmlformats.org/drawingml/2006/main">
            <a:ext uri="{FF2B5EF4-FFF2-40B4-BE49-F238E27FC236}">
              <a16:creationId xmlns:a16="http://schemas.microsoft.com/office/drawing/2014/main" id="{F198E37C-AED7-41C3-93D9-60888376F771}"/>
            </a:ext>
          </a:extLst>
        </cdr:cNvPr>
        <cdr:cNvCxnSpPr/>
      </cdr:nvCxnSpPr>
      <cdr:spPr>
        <a:xfrm xmlns:a="http://schemas.openxmlformats.org/drawingml/2006/main">
          <a:off x="544735" y="1111092"/>
          <a:ext cx="5227416" cy="2617947"/>
        </a:xfrm>
        <a:prstGeom xmlns:a="http://schemas.openxmlformats.org/drawingml/2006/main" prst="line">
          <a:avLst/>
        </a:prstGeom>
        <a:ln xmlns:a="http://schemas.openxmlformats.org/drawingml/2006/main">
          <a:solidFill>
            <a:schemeClr val="accent2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0.08542</cdr:x>
      <cdr:y>0.34289</cdr:y>
    </cdr:from>
    <cdr:to>
      <cdr:x>0.20471</cdr:x>
      <cdr:y>0.8699</cdr:y>
    </cdr:to>
    <cdr:sp macro="" textlink="">
      <cdr:nvSpPr>
        <cdr:cNvPr id="8" name="Retângulo 7">
          <a:extLst xmlns:a="http://schemas.openxmlformats.org/drawingml/2006/main">
            <a:ext uri="{FF2B5EF4-FFF2-40B4-BE49-F238E27FC236}">
              <a16:creationId xmlns:a16="http://schemas.microsoft.com/office/drawing/2014/main" id="{550D4823-7B28-4307-8AA8-6EA5F26D80B4}"/>
            </a:ext>
          </a:extLst>
        </cdr:cNvPr>
        <cdr:cNvSpPr/>
      </cdr:nvSpPr>
      <cdr:spPr>
        <a:xfrm xmlns:a="http://schemas.openxmlformats.org/drawingml/2006/main">
          <a:off x="552451" y="1481139"/>
          <a:ext cx="771525" cy="2276475"/>
        </a:xfrm>
        <a:prstGeom xmlns:a="http://schemas.openxmlformats.org/drawingml/2006/main" prst="rect">
          <a:avLst/>
        </a:prstGeom>
        <a:pattFill xmlns:a="http://schemas.openxmlformats.org/drawingml/2006/main" prst="wdDnDiag">
          <a:fgClr>
            <a:schemeClr val="accent6">
              <a:lumMod val="75000"/>
            </a:schemeClr>
          </a:fgClr>
          <a:bgClr>
            <a:schemeClr val="bg1"/>
          </a:bgClr>
        </a:pattFill>
        <a:ln xmlns:a="http://schemas.openxmlformats.org/drawingml/2006/main">
          <a:solidFill>
            <a:schemeClr val="tx2">
              <a:alpha val="16000"/>
            </a:schemeClr>
          </a:solidFill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/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200024</xdr:colOff>
      <xdr:row>0</xdr:row>
      <xdr:rowOff>61911</xdr:rowOff>
    </xdr:from>
    <xdr:to>
      <xdr:col>16</xdr:col>
      <xdr:colOff>295275</xdr:colOff>
      <xdr:row>22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D8C49AA-B5E0-4BAB-8748-EF79CF274C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0.07658</cdr:x>
      <cdr:y>0.19074</cdr:y>
    </cdr:from>
    <cdr:to>
      <cdr:x>0.58964</cdr:x>
      <cdr:y>0.86207</cdr:y>
    </cdr:to>
    <cdr:cxnSp macro="">
      <cdr:nvCxnSpPr>
        <cdr:cNvPr id="5" name="Conector reto 4">
          <a:extLst xmlns:a="http://schemas.openxmlformats.org/drawingml/2006/main">
            <a:ext uri="{FF2B5EF4-FFF2-40B4-BE49-F238E27FC236}">
              <a16:creationId xmlns:a16="http://schemas.microsoft.com/office/drawing/2014/main" id="{F198E37C-AED7-41C3-93D9-60888376F771}"/>
            </a:ext>
          </a:extLst>
        </cdr:cNvPr>
        <cdr:cNvCxnSpPr/>
      </cdr:nvCxnSpPr>
      <cdr:spPr>
        <a:xfrm xmlns:a="http://schemas.openxmlformats.org/drawingml/2006/main">
          <a:off x="520832" y="816647"/>
          <a:ext cx="3489194" cy="2874292"/>
        </a:xfrm>
        <a:prstGeom xmlns:a="http://schemas.openxmlformats.org/drawingml/2006/main" prst="line">
          <a:avLst/>
        </a:prstGeom>
        <a:ln xmlns:a="http://schemas.openxmlformats.org/drawingml/2006/main">
          <a:solidFill>
            <a:schemeClr val="accent2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0.07423</cdr:x>
      <cdr:y>0.69299</cdr:y>
    </cdr:from>
    <cdr:to>
      <cdr:x>0.46332</cdr:x>
      <cdr:y>0.86988</cdr:y>
    </cdr:to>
    <cdr:sp macro="" textlink="">
      <cdr:nvSpPr>
        <cdr:cNvPr id="8" name="Retângulo 7">
          <a:extLst xmlns:a="http://schemas.openxmlformats.org/drawingml/2006/main">
            <a:ext uri="{FF2B5EF4-FFF2-40B4-BE49-F238E27FC236}">
              <a16:creationId xmlns:a16="http://schemas.microsoft.com/office/drawing/2014/main" id="{550D4823-7B28-4307-8AA8-6EA5F26D80B4}"/>
            </a:ext>
          </a:extLst>
        </cdr:cNvPr>
        <cdr:cNvSpPr/>
      </cdr:nvSpPr>
      <cdr:spPr>
        <a:xfrm xmlns:a="http://schemas.openxmlformats.org/drawingml/2006/main">
          <a:off x="504827" y="2967039"/>
          <a:ext cx="2646162" cy="757344"/>
        </a:xfrm>
        <a:prstGeom xmlns:a="http://schemas.openxmlformats.org/drawingml/2006/main" prst="rect">
          <a:avLst/>
        </a:prstGeom>
        <a:pattFill xmlns:a="http://schemas.openxmlformats.org/drawingml/2006/main" prst="wdDnDiag">
          <a:fgClr>
            <a:schemeClr val="accent6">
              <a:lumMod val="75000"/>
            </a:schemeClr>
          </a:fgClr>
          <a:bgClr>
            <a:schemeClr val="bg1"/>
          </a:bgClr>
        </a:pattFill>
        <a:ln xmlns:a="http://schemas.openxmlformats.org/drawingml/2006/main">
          <a:solidFill>
            <a:schemeClr val="tx2">
              <a:alpha val="16000"/>
            </a:schemeClr>
          </a:solidFill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/>
        </a:p>
      </cdr:txBody>
    </cdr:sp>
  </cdr:relSizeAnchor>
  <cdr:relSizeAnchor xmlns:cdr="http://schemas.openxmlformats.org/drawingml/2006/chartDrawing">
    <cdr:from>
      <cdr:x>0.07563</cdr:x>
      <cdr:y>0.52614</cdr:y>
    </cdr:from>
    <cdr:to>
      <cdr:x>0.85014</cdr:x>
      <cdr:y>0.86874</cdr:y>
    </cdr:to>
    <cdr:cxnSp macro="">
      <cdr:nvCxnSpPr>
        <cdr:cNvPr id="9" name="Conector reto 8">
          <a:extLst xmlns:a="http://schemas.openxmlformats.org/drawingml/2006/main">
            <a:ext uri="{FF2B5EF4-FFF2-40B4-BE49-F238E27FC236}">
              <a16:creationId xmlns:a16="http://schemas.microsoft.com/office/drawing/2014/main" id="{6FF22B94-90AB-4F3C-BCDC-110E3292018C}"/>
            </a:ext>
          </a:extLst>
        </cdr:cNvPr>
        <cdr:cNvCxnSpPr/>
      </cdr:nvCxnSpPr>
      <cdr:spPr>
        <a:xfrm xmlns:a="http://schemas.openxmlformats.org/drawingml/2006/main">
          <a:off x="514351" y="2252664"/>
          <a:ext cx="5267325" cy="1466850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600075</xdr:colOff>
      <xdr:row>0</xdr:row>
      <xdr:rowOff>0</xdr:rowOff>
    </xdr:from>
    <xdr:to>
      <xdr:col>23</xdr:col>
      <xdr:colOff>514351</xdr:colOff>
      <xdr:row>33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BF8F40C-1945-4EEF-BA43-53A750251C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0.06673</cdr:x>
      <cdr:y>0.11556</cdr:y>
    </cdr:from>
    <cdr:to>
      <cdr:x>0.63577</cdr:x>
      <cdr:y>0.91111</cdr:y>
    </cdr:to>
    <cdr:cxnSp macro="">
      <cdr:nvCxnSpPr>
        <cdr:cNvPr id="5" name="Conector reto 4">
          <a:extLst xmlns:a="http://schemas.openxmlformats.org/drawingml/2006/main">
            <a:ext uri="{FF2B5EF4-FFF2-40B4-BE49-F238E27FC236}">
              <a16:creationId xmlns:a16="http://schemas.microsoft.com/office/drawing/2014/main" id="{F198E37C-AED7-41C3-93D9-60888376F771}"/>
            </a:ext>
          </a:extLst>
        </cdr:cNvPr>
        <cdr:cNvCxnSpPr/>
      </cdr:nvCxnSpPr>
      <cdr:spPr>
        <a:xfrm xmlns:a="http://schemas.openxmlformats.org/drawingml/2006/main">
          <a:off x="685800" y="742950"/>
          <a:ext cx="5848350" cy="5114925"/>
        </a:xfrm>
        <a:prstGeom xmlns:a="http://schemas.openxmlformats.org/drawingml/2006/main" prst="line">
          <a:avLst/>
        </a:prstGeom>
        <a:ln xmlns:a="http://schemas.openxmlformats.org/drawingml/2006/main">
          <a:solidFill>
            <a:schemeClr val="accent2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0.05561</cdr:x>
      <cdr:y>0.6237</cdr:y>
    </cdr:from>
    <cdr:to>
      <cdr:x>0.43095</cdr:x>
      <cdr:y>0.91407</cdr:y>
    </cdr:to>
    <cdr:sp macro="" textlink="">
      <cdr:nvSpPr>
        <cdr:cNvPr id="8" name="Retângulo 7">
          <a:extLst xmlns:a="http://schemas.openxmlformats.org/drawingml/2006/main">
            <a:ext uri="{FF2B5EF4-FFF2-40B4-BE49-F238E27FC236}">
              <a16:creationId xmlns:a16="http://schemas.microsoft.com/office/drawing/2014/main" id="{550D4823-7B28-4307-8AA8-6EA5F26D80B4}"/>
            </a:ext>
          </a:extLst>
        </cdr:cNvPr>
        <cdr:cNvSpPr/>
      </cdr:nvSpPr>
      <cdr:spPr>
        <a:xfrm xmlns:a="http://schemas.openxmlformats.org/drawingml/2006/main">
          <a:off x="571500" y="4010025"/>
          <a:ext cx="3857625" cy="1866899"/>
        </a:xfrm>
        <a:prstGeom xmlns:a="http://schemas.openxmlformats.org/drawingml/2006/main" prst="rect">
          <a:avLst/>
        </a:prstGeom>
        <a:pattFill xmlns:a="http://schemas.openxmlformats.org/drawingml/2006/main" prst="wdDnDiag">
          <a:fgClr>
            <a:schemeClr val="accent6">
              <a:lumMod val="75000"/>
            </a:schemeClr>
          </a:fgClr>
          <a:bgClr>
            <a:schemeClr val="bg1"/>
          </a:bgClr>
        </a:pattFill>
        <a:ln xmlns:a="http://schemas.openxmlformats.org/drawingml/2006/main">
          <a:solidFill>
            <a:schemeClr val="tx2">
              <a:alpha val="16000"/>
            </a:schemeClr>
          </a:solidFill>
        </a:ln>
      </cdr:spPr>
      <cdr:style>
        <a:lnRef xmlns:a="http://schemas.openxmlformats.org/drawingml/2006/main" idx="2">
          <a:schemeClr val="accent1">
            <a:shade val="50000"/>
          </a:schemeClr>
        </a:lnRef>
        <a:fillRef xmlns:a="http://schemas.openxmlformats.org/drawingml/2006/main" idx="1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lt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/>
        </a:p>
      </cdr:txBody>
    </cdr:sp>
  </cdr:relSizeAnchor>
  <cdr:relSizeAnchor xmlns:cdr="http://schemas.openxmlformats.org/drawingml/2006/chartDrawing">
    <cdr:from>
      <cdr:x>0.06506</cdr:x>
      <cdr:y>0.43201</cdr:y>
    </cdr:from>
    <cdr:to>
      <cdr:x>0.97868</cdr:x>
      <cdr:y>0.90963</cdr:y>
    </cdr:to>
    <cdr:cxnSp macro="">
      <cdr:nvCxnSpPr>
        <cdr:cNvPr id="9" name="Conector reto 8">
          <a:extLst xmlns:a="http://schemas.openxmlformats.org/drawingml/2006/main">
            <a:ext uri="{FF2B5EF4-FFF2-40B4-BE49-F238E27FC236}">
              <a16:creationId xmlns:a16="http://schemas.microsoft.com/office/drawing/2014/main" id="{6FF22B94-90AB-4F3C-BCDC-110E3292018C}"/>
            </a:ext>
          </a:extLst>
        </cdr:cNvPr>
        <cdr:cNvCxnSpPr/>
      </cdr:nvCxnSpPr>
      <cdr:spPr>
        <a:xfrm xmlns:a="http://schemas.openxmlformats.org/drawingml/2006/main">
          <a:off x="668610" y="2777579"/>
          <a:ext cx="9389790" cy="3070771"/>
        </a:xfrm>
        <a:prstGeom xmlns:a="http://schemas.openxmlformats.org/drawingml/2006/main" prst="line">
          <a:avLst/>
        </a:prstGeom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  <cdr:relSizeAnchor xmlns:cdr="http://schemas.openxmlformats.org/drawingml/2006/chartDrawing">
    <cdr:from>
      <cdr:x>0.06691</cdr:x>
      <cdr:y>0.35628</cdr:y>
    </cdr:from>
    <cdr:to>
      <cdr:x>0.86469</cdr:x>
      <cdr:y>0.91407</cdr:y>
    </cdr:to>
    <cdr:cxnSp macro="">
      <cdr:nvCxnSpPr>
        <cdr:cNvPr id="17" name="Conector reto 16">
          <a:extLst xmlns:a="http://schemas.openxmlformats.org/drawingml/2006/main">
            <a:ext uri="{FF2B5EF4-FFF2-40B4-BE49-F238E27FC236}">
              <a16:creationId xmlns:a16="http://schemas.microsoft.com/office/drawing/2014/main" id="{E0DA861A-7626-43F8-A5F5-814BBB4A6B0A}"/>
            </a:ext>
          </a:extLst>
        </cdr:cNvPr>
        <cdr:cNvCxnSpPr/>
      </cdr:nvCxnSpPr>
      <cdr:spPr>
        <a:xfrm xmlns:a="http://schemas.openxmlformats.org/drawingml/2006/main">
          <a:off x="687713" y="2290672"/>
          <a:ext cx="8199112" cy="3586253"/>
        </a:xfrm>
        <a:prstGeom xmlns:a="http://schemas.openxmlformats.org/drawingml/2006/main" prst="line">
          <a:avLst/>
        </a:prstGeom>
        <a:ln xmlns:a="http://schemas.openxmlformats.org/drawingml/2006/main">
          <a:solidFill>
            <a:schemeClr val="accent6"/>
          </a:solidFill>
        </a:ln>
      </cdr:spPr>
      <cdr:style>
        <a:lnRef xmlns:a="http://schemas.openxmlformats.org/drawingml/2006/main" idx="1">
          <a:schemeClr val="accent1"/>
        </a:lnRef>
        <a:fillRef xmlns:a="http://schemas.openxmlformats.org/drawingml/2006/main" idx="0">
          <a:schemeClr val="accent1"/>
        </a:fillRef>
        <a:effectRef xmlns:a="http://schemas.openxmlformats.org/drawingml/2006/main" idx="0">
          <a:schemeClr val="accent1"/>
        </a:effectRef>
        <a:fontRef xmlns:a="http://schemas.openxmlformats.org/drawingml/2006/main" idx="minor">
          <a:schemeClr val="tx1"/>
        </a:fontRef>
      </cdr:style>
    </cdr:cxnSp>
  </cdr:relSizeAnchor>
</c:userShap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B92EF86-C117-4AAB-83FC-A9F29285C342}" name="Tabela1" displayName="Tabela1" ref="A1:E6" totalsRowShown="0">
  <autoFilter ref="A1:E6" xr:uid="{CBAE266A-04DC-45EF-8B1A-B772638344D1}"/>
  <tableColumns count="5">
    <tableColumn id="1" xr3:uid="{CD3C573B-0C34-40C3-BE2D-4CC62EED4169}" name="Kit A"/>
    <tableColumn id="2" xr3:uid="{233C09F4-EFE5-4067-8D0A-727EFB3A34C6}" name="Kit B"/>
    <tableColumn id="3" xr3:uid="{6E957160-AEF8-4502-A6F9-A254FB709B69}" name="Função Objetivo" dataDxfId="35">
      <calculatedColumnFormula>6*A2+8*B2</calculatedColumnFormula>
    </tableColumn>
    <tableColumn id="4" xr3:uid="{5E73BE8E-91D0-4391-B883-BB1694E2FB56}" name="R1 = Algodão">
      <calculatedColumnFormula>2*A2+2*B2</calculatedColumnFormula>
    </tableColumn>
    <tableColumn id="5" xr3:uid="{8FB0880A-DD5D-4790-A7A9-6C286EF0FC49}" name="R2 = Lã">
      <calculatedColumnFormula>4*A2+8*B2</calculatedColumnFormula>
    </tableColumn>
  </tableColumns>
  <tableStyleInfo name="TableStyleLight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8361A9C-2C96-47F8-BF3F-984C47D8792C}" name="Tabela13" displayName="Tabela13" ref="A1:E6" totalsRowShown="0">
  <autoFilter ref="A1:E6" xr:uid="{CBAE266A-04DC-45EF-8B1A-B772638344D1}"/>
  <tableColumns count="5">
    <tableColumn id="1" xr3:uid="{243F2FF8-6FFB-48E8-A0A8-9E27635C554E}" name="Mesa"/>
    <tableColumn id="2" xr3:uid="{936CC617-A79F-4905-94F7-13BFF79EEC6B}" name="Armario"/>
    <tableColumn id="3" xr3:uid="{D6BAF88C-0AE3-4255-B2FA-BA17ABA26915}" name="Função Objetivo" dataDxfId="34">
      <calculatedColumnFormula>4*A2+3*B2</calculatedColumnFormula>
    </tableColumn>
    <tableColumn id="4" xr3:uid="{963FD4E7-90E3-4ECF-90B5-A6A166678D50}" name="R1 = Algodão" dataDxfId="33">
      <calculatedColumnFormula>2*A2+3*B2</calculatedColumnFormula>
    </tableColumn>
    <tableColumn id="5" xr3:uid="{12F9FD07-8BE4-4AB5-8264-89A97F8C4BAE}" name="R2 = Lã" dataDxfId="32">
      <calculatedColumnFormula>2*A2+1*B2</calculatedColumnFormula>
    </tableColumn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4E9F9F4-33C9-4351-8E5E-FE895863D27C}" name="Tabela134" displayName="Tabela134" ref="A1:F8" totalsRowShown="0">
  <autoFilter ref="A1:F8" xr:uid="{CBAE266A-04DC-45EF-8B1A-B772638344D1}"/>
  <tableColumns count="6">
    <tableColumn id="1" xr3:uid="{7142BF79-17B1-4B0B-A34F-7AAA22690851}" name="B1"/>
    <tableColumn id="2" xr3:uid="{253F461F-5BA1-4522-9AFC-63887ECB9A1D}" name="B2"/>
    <tableColumn id="3" xr3:uid="{84FA9468-B4BC-439B-B885-B2CD2410F99D}" name="Função Objetivo" dataDxfId="31">
      <calculatedColumnFormula>8*A2+5*B2</calculatedColumnFormula>
    </tableColumn>
    <tableColumn id="4" xr3:uid="{5B8EF21A-EE8A-4503-A5BB-136726CBDF0B}" name="R1 = Plastico" dataDxfId="30">
      <calculatedColumnFormula>2*A2+1*B2</calculatedColumnFormula>
    </tableColumn>
    <tableColumn id="5" xr3:uid="{030ED1E5-1D2C-422B-9F13-1D61EBCD9D19}" name="R2 = M.O." dataDxfId="29">
      <calculatedColumnFormula>3*A2+4*B2</calculatedColumnFormula>
    </tableColumn>
    <tableColumn id="6" xr3:uid="{7CE4A843-9C9A-4225-A098-090E08502E57}" name="R3=MKT" dataDxfId="11">
      <calculatedColumnFormula>A2+B2</calculatedColumnFormula>
    </tableColumn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DA6AD-6FF4-489A-AF06-F6BF943E9C2F}">
  <dimension ref="A1:E6"/>
  <sheetViews>
    <sheetView workbookViewId="0">
      <selection activeCell="C8" sqref="C8"/>
    </sheetView>
  </sheetViews>
  <sheetFormatPr defaultRowHeight="15" x14ac:dyDescent="0.25"/>
  <cols>
    <col min="3" max="3" width="21.140625" customWidth="1"/>
    <col min="4" max="4" width="14.5703125" bestFit="1" customWidth="1"/>
    <col min="5" max="5" width="16.85546875" customWidth="1"/>
  </cols>
  <sheetData>
    <row r="1" spans="1:5" x14ac:dyDescent="0.25">
      <c r="A1" t="s">
        <v>1</v>
      </c>
      <c r="B1" t="s">
        <v>2</v>
      </c>
      <c r="C1" t="s">
        <v>0</v>
      </c>
      <c r="D1" t="s">
        <v>3</v>
      </c>
      <c r="E1" t="s">
        <v>4</v>
      </c>
    </row>
    <row r="2" spans="1:5" x14ac:dyDescent="0.25">
      <c r="A2">
        <v>0</v>
      </c>
      <c r="B2">
        <v>12</v>
      </c>
      <c r="C2" s="1">
        <f>6*A2+8*B2</f>
        <v>96</v>
      </c>
      <c r="D2">
        <f>2*A2+2*B2</f>
        <v>24</v>
      </c>
      <c r="E2">
        <f>4*A2+8*B2</f>
        <v>96</v>
      </c>
    </row>
    <row r="3" spans="1:5" x14ac:dyDescent="0.25">
      <c r="A3">
        <v>12</v>
      </c>
      <c r="B3">
        <v>0</v>
      </c>
      <c r="C3" s="1">
        <f t="shared" ref="C3:C6" si="0">6*A3+8*B3</f>
        <v>72</v>
      </c>
      <c r="D3">
        <f t="shared" ref="D3:D6" si="1">2*A3+2*B3</f>
        <v>24</v>
      </c>
      <c r="E3">
        <f>4*A3+8*B3</f>
        <v>48</v>
      </c>
    </row>
    <row r="4" spans="1:5" x14ac:dyDescent="0.25">
      <c r="A4">
        <v>0</v>
      </c>
      <c r="B4">
        <v>10.5</v>
      </c>
      <c r="C4" s="1">
        <f t="shared" si="0"/>
        <v>84</v>
      </c>
      <c r="D4">
        <f t="shared" si="1"/>
        <v>21</v>
      </c>
      <c r="E4">
        <f t="shared" ref="E4:E6" si="2">4*A4+8*B4</f>
        <v>84</v>
      </c>
    </row>
    <row r="5" spans="1:5" x14ac:dyDescent="0.25">
      <c r="A5">
        <v>21</v>
      </c>
      <c r="B5">
        <v>0</v>
      </c>
      <c r="C5" s="1">
        <f t="shared" si="0"/>
        <v>126</v>
      </c>
      <c r="D5">
        <f t="shared" si="1"/>
        <v>42</v>
      </c>
      <c r="E5">
        <f t="shared" si="2"/>
        <v>84</v>
      </c>
    </row>
    <row r="6" spans="1:5" x14ac:dyDescent="0.25">
      <c r="A6">
        <v>3</v>
      </c>
      <c r="B6">
        <v>9</v>
      </c>
      <c r="C6" s="2">
        <f t="shared" si="0"/>
        <v>90</v>
      </c>
      <c r="D6">
        <f t="shared" si="1"/>
        <v>24</v>
      </c>
      <c r="E6">
        <f t="shared" si="2"/>
        <v>84</v>
      </c>
    </row>
  </sheetData>
  <conditionalFormatting sqref="D2:D6">
    <cfRule type="cellIs" dxfId="21" priority="2" operator="lessThanOrEqual">
      <formula>24</formula>
    </cfRule>
  </conditionalFormatting>
  <conditionalFormatting sqref="E2:E6">
    <cfRule type="cellIs" dxfId="20" priority="1" operator="lessThanOrEqual">
      <formula>84</formula>
    </cfRule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B61984-F786-4702-9C38-15735DB43BB7}">
  <dimension ref="A1:E6"/>
  <sheetViews>
    <sheetView workbookViewId="0">
      <selection activeCell="D2" sqref="D2"/>
    </sheetView>
  </sheetViews>
  <sheetFormatPr defaultRowHeight="15" x14ac:dyDescent="0.25"/>
  <cols>
    <col min="3" max="3" width="21.140625" customWidth="1"/>
    <col min="4" max="4" width="14.5703125" bestFit="1" customWidth="1"/>
    <col min="5" max="5" width="16.85546875" customWidth="1"/>
  </cols>
  <sheetData>
    <row r="1" spans="1:5" x14ac:dyDescent="0.25">
      <c r="A1" t="s">
        <v>5</v>
      </c>
      <c r="B1" t="s">
        <v>6</v>
      </c>
      <c r="C1" t="s">
        <v>0</v>
      </c>
      <c r="D1" t="s">
        <v>3</v>
      </c>
      <c r="E1" t="s">
        <v>4</v>
      </c>
    </row>
    <row r="2" spans="1:5" x14ac:dyDescent="0.25">
      <c r="A2">
        <v>0</v>
      </c>
      <c r="B2">
        <v>4</v>
      </c>
      <c r="C2" s="1">
        <f t="shared" ref="C2:C6" si="0">4*A2+3*B2</f>
        <v>12</v>
      </c>
      <c r="D2">
        <f t="shared" ref="D2:D6" si="1">2*A2+3*B2</f>
        <v>12</v>
      </c>
      <c r="E2">
        <f t="shared" ref="E2:E6" si="2">2*A2+1*B2</f>
        <v>4</v>
      </c>
    </row>
    <row r="3" spans="1:5" x14ac:dyDescent="0.25">
      <c r="A3">
        <v>6</v>
      </c>
      <c r="B3">
        <v>0</v>
      </c>
      <c r="C3" s="1">
        <f t="shared" si="0"/>
        <v>24</v>
      </c>
      <c r="D3">
        <f t="shared" si="1"/>
        <v>12</v>
      </c>
      <c r="E3">
        <f t="shared" si="2"/>
        <v>12</v>
      </c>
    </row>
    <row r="4" spans="1:5" x14ac:dyDescent="0.25">
      <c r="A4">
        <v>0</v>
      </c>
      <c r="B4">
        <v>8</v>
      </c>
      <c r="C4" s="1">
        <f t="shared" si="0"/>
        <v>24</v>
      </c>
      <c r="D4">
        <f t="shared" si="1"/>
        <v>24</v>
      </c>
      <c r="E4">
        <f t="shared" si="2"/>
        <v>8</v>
      </c>
    </row>
    <row r="5" spans="1:5" x14ac:dyDescent="0.25">
      <c r="A5">
        <v>4</v>
      </c>
      <c r="B5">
        <v>0</v>
      </c>
      <c r="C5" s="1">
        <f t="shared" si="0"/>
        <v>16</v>
      </c>
      <c r="D5">
        <f t="shared" si="1"/>
        <v>8</v>
      </c>
      <c r="E5">
        <f t="shared" si="2"/>
        <v>8</v>
      </c>
    </row>
    <row r="6" spans="1:5" x14ac:dyDescent="0.25">
      <c r="A6">
        <v>3</v>
      </c>
      <c r="B6">
        <v>2</v>
      </c>
      <c r="C6" s="2">
        <f t="shared" si="0"/>
        <v>18</v>
      </c>
      <c r="D6">
        <f t="shared" si="1"/>
        <v>12</v>
      </c>
      <c r="E6">
        <f t="shared" si="2"/>
        <v>8</v>
      </c>
    </row>
  </sheetData>
  <conditionalFormatting sqref="D2:D6">
    <cfRule type="cellIs" dxfId="19" priority="2" operator="greaterThan">
      <formula>12</formula>
    </cfRule>
    <cfRule type="cellIs" dxfId="18" priority="4" operator="lessThanOrEqual">
      <formula>12</formula>
    </cfRule>
  </conditionalFormatting>
  <conditionalFormatting sqref="E2:E6">
    <cfRule type="cellIs" dxfId="17" priority="3" operator="lessThanOrEqual">
      <formula>8</formula>
    </cfRule>
  </conditionalFormatting>
  <conditionalFormatting sqref="E2:E1048576">
    <cfRule type="cellIs" dxfId="16" priority="1" operator="greaterThan">
      <formula>8</formula>
    </cfRule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E2673-FA2C-4936-AC92-6D9FE69529DB}">
  <dimension ref="A1:F20"/>
  <sheetViews>
    <sheetView tabSelected="1" workbookViewId="0">
      <selection activeCell="E22" sqref="E22"/>
    </sheetView>
  </sheetViews>
  <sheetFormatPr defaultRowHeight="15" x14ac:dyDescent="0.25"/>
  <cols>
    <col min="1" max="1" width="13.7109375" bestFit="1" customWidth="1"/>
    <col min="3" max="3" width="21.140625" customWidth="1"/>
    <col min="4" max="4" width="14.5703125" bestFit="1" customWidth="1"/>
    <col min="5" max="5" width="16.85546875" customWidth="1"/>
    <col min="6" max="6" width="11.85546875" customWidth="1"/>
  </cols>
  <sheetData>
    <row r="1" spans="1:6" x14ac:dyDescent="0.25">
      <c r="A1" t="s">
        <v>7</v>
      </c>
      <c r="B1" t="s">
        <v>8</v>
      </c>
      <c r="C1" t="s">
        <v>0</v>
      </c>
      <c r="D1" t="s">
        <v>9</v>
      </c>
      <c r="E1" t="s">
        <v>10</v>
      </c>
      <c r="F1" t="s">
        <v>24</v>
      </c>
    </row>
    <row r="2" spans="1:6" x14ac:dyDescent="0.25">
      <c r="A2" s="10">
        <v>0</v>
      </c>
      <c r="B2" s="11">
        <v>1000</v>
      </c>
      <c r="C2" s="1">
        <f t="shared" ref="C2:C6" si="0">8*A2+5*B2</f>
        <v>5000</v>
      </c>
      <c r="D2">
        <f t="shared" ref="D2:D4" si="1">2*A2+1*B2</f>
        <v>1000</v>
      </c>
      <c r="E2">
        <f t="shared" ref="E2:E6" si="2">3*A2+4*B2</f>
        <v>4000</v>
      </c>
      <c r="F2">
        <f t="shared" ref="F2:F9" si="3">A2+B2</f>
        <v>1000</v>
      </c>
    </row>
    <row r="3" spans="1:6" x14ac:dyDescent="0.25">
      <c r="A3" s="12">
        <v>500</v>
      </c>
      <c r="B3" s="13">
        <v>0</v>
      </c>
      <c r="C3" s="1">
        <f t="shared" si="0"/>
        <v>4000</v>
      </c>
      <c r="D3">
        <f t="shared" si="1"/>
        <v>1000</v>
      </c>
      <c r="E3">
        <f t="shared" si="2"/>
        <v>1500</v>
      </c>
      <c r="F3">
        <f t="shared" si="3"/>
        <v>500</v>
      </c>
    </row>
    <row r="4" spans="1:6" x14ac:dyDescent="0.25">
      <c r="A4" s="15">
        <v>0</v>
      </c>
      <c r="B4" s="16">
        <v>600</v>
      </c>
      <c r="C4" s="1">
        <f t="shared" si="0"/>
        <v>3000</v>
      </c>
      <c r="D4">
        <f t="shared" si="1"/>
        <v>600</v>
      </c>
      <c r="E4">
        <f t="shared" si="2"/>
        <v>2400</v>
      </c>
      <c r="F4">
        <f t="shared" si="3"/>
        <v>600</v>
      </c>
    </row>
    <row r="5" spans="1:6" x14ac:dyDescent="0.25">
      <c r="A5" s="17">
        <v>800</v>
      </c>
      <c r="B5" s="18">
        <v>0</v>
      </c>
      <c r="C5" s="1">
        <f t="shared" si="0"/>
        <v>6400</v>
      </c>
      <c r="D5">
        <f>2*A5+1*B5</f>
        <v>1600</v>
      </c>
      <c r="E5">
        <f t="shared" si="2"/>
        <v>2400</v>
      </c>
      <c r="F5">
        <f t="shared" si="3"/>
        <v>800</v>
      </c>
    </row>
    <row r="6" spans="1:6" x14ac:dyDescent="0.25">
      <c r="A6" s="19">
        <v>0</v>
      </c>
      <c r="B6" s="19">
        <v>700</v>
      </c>
      <c r="C6" s="1">
        <f>8*A6+5*B6</f>
        <v>3500</v>
      </c>
      <c r="D6">
        <f t="shared" ref="D6:D7" si="4">2*A6+1*B6</f>
        <v>700</v>
      </c>
      <c r="E6">
        <f t="shared" si="2"/>
        <v>2800</v>
      </c>
      <c r="F6">
        <f t="shared" si="3"/>
        <v>700</v>
      </c>
    </row>
    <row r="7" spans="1:6" x14ac:dyDescent="0.25">
      <c r="A7" s="19">
        <v>700</v>
      </c>
      <c r="B7" s="19">
        <v>0</v>
      </c>
      <c r="C7" s="1">
        <f>8*A7+5*B7</f>
        <v>5600</v>
      </c>
      <c r="D7">
        <f t="shared" si="4"/>
        <v>1400</v>
      </c>
      <c r="E7" s="8">
        <f>3*A7+4*B7</f>
        <v>2100</v>
      </c>
      <c r="F7">
        <f t="shared" si="3"/>
        <v>700</v>
      </c>
    </row>
    <row r="8" spans="1:6" x14ac:dyDescent="0.25">
      <c r="A8">
        <v>320</v>
      </c>
      <c r="B8">
        <v>360</v>
      </c>
      <c r="C8" s="1">
        <f>8*A8+5*B8</f>
        <v>4360</v>
      </c>
      <c r="D8" s="8">
        <f>2*A8+1*B8</f>
        <v>1000</v>
      </c>
      <c r="E8" s="8">
        <f>3*A8+4*B8</f>
        <v>2400</v>
      </c>
      <c r="F8">
        <f t="shared" si="3"/>
        <v>680</v>
      </c>
    </row>
    <row r="11" spans="1:6" x14ac:dyDescent="0.25">
      <c r="A11" s="5" t="s">
        <v>11</v>
      </c>
      <c r="B11" s="5"/>
      <c r="C11" s="5"/>
      <c r="D11" s="5"/>
      <c r="E11" s="5"/>
    </row>
    <row r="12" spans="1:6" x14ac:dyDescent="0.25">
      <c r="A12" s="4" t="s">
        <v>12</v>
      </c>
      <c r="B12" s="4"/>
      <c r="C12" s="4"/>
      <c r="D12" s="4"/>
      <c r="E12" s="4"/>
    </row>
    <row r="13" spans="1:6" x14ac:dyDescent="0.25">
      <c r="A13" s="4" t="s">
        <v>13</v>
      </c>
      <c r="B13" s="4"/>
      <c r="C13" s="4"/>
      <c r="D13" s="4"/>
      <c r="E13" s="4"/>
    </row>
    <row r="15" spans="1:6" x14ac:dyDescent="0.25">
      <c r="A15" s="6" t="s">
        <v>14</v>
      </c>
      <c r="B15" s="6"/>
      <c r="C15" s="6"/>
      <c r="D15" t="s">
        <v>15</v>
      </c>
    </row>
    <row r="17" spans="1:4" x14ac:dyDescent="0.25">
      <c r="A17" s="7" t="s">
        <v>16</v>
      </c>
      <c r="B17" s="7"/>
    </row>
    <row r="18" spans="1:4" x14ac:dyDescent="0.25">
      <c r="A18" s="9" t="s">
        <v>17</v>
      </c>
      <c r="B18" s="3" t="s">
        <v>19</v>
      </c>
      <c r="C18" s="3"/>
    </row>
    <row r="19" spans="1:4" x14ac:dyDescent="0.25">
      <c r="A19" s="14" t="s">
        <v>18</v>
      </c>
      <c r="B19" s="3" t="s">
        <v>22</v>
      </c>
      <c r="C19" s="3"/>
      <c r="D19" t="s">
        <v>23</v>
      </c>
    </row>
    <row r="20" spans="1:4" x14ac:dyDescent="0.25">
      <c r="A20" s="19" t="s">
        <v>20</v>
      </c>
      <c r="B20" s="3" t="s">
        <v>21</v>
      </c>
      <c r="C20" s="3"/>
    </row>
  </sheetData>
  <mergeCells count="8">
    <mergeCell ref="A17:B17"/>
    <mergeCell ref="B18:C18"/>
    <mergeCell ref="B19:C19"/>
    <mergeCell ref="B20:C20"/>
    <mergeCell ref="A11:E11"/>
    <mergeCell ref="A12:E12"/>
    <mergeCell ref="A13:E13"/>
    <mergeCell ref="A15:C15"/>
  </mergeCells>
  <conditionalFormatting sqref="E8 E14:E1048576 E10">
    <cfRule type="cellIs" dxfId="10" priority="5" operator="greaterThan">
      <formula>8</formula>
    </cfRule>
  </conditionalFormatting>
  <conditionalFormatting sqref="E2:E8">
    <cfRule type="cellIs" dxfId="9" priority="4" operator="lessThanOrEqual">
      <formula>2400</formula>
    </cfRule>
  </conditionalFormatting>
  <conditionalFormatting sqref="D2:D8">
    <cfRule type="cellIs" dxfId="8" priority="3" operator="lessThanOrEqual">
      <formula>1000</formula>
    </cfRule>
  </conditionalFormatting>
  <conditionalFormatting sqref="F2:F8">
    <cfRule type="cellIs" dxfId="7" priority="2" operator="lessThanOrEqual">
      <formula>700</formula>
    </cfRule>
  </conditionalFormatting>
  <conditionalFormatting sqref="E9">
    <cfRule type="cellIs" dxfId="0" priority="1" operator="greaterThan">
      <formula>8</formula>
    </cfRule>
  </conditionalFormatting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MEIAS</vt:lpstr>
      <vt:lpstr>MARCENARIA</vt:lpstr>
      <vt:lpstr>FABRICA DE BRINQUEDOS</vt:lpstr>
    </vt:vector>
  </TitlesOfParts>
  <Company>CPS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Fatec</dc:creator>
  <cp:lastModifiedBy>Fatec</cp:lastModifiedBy>
  <dcterms:created xsi:type="dcterms:W3CDTF">2026-08-19T23:40:17Z</dcterms:created>
  <dcterms:modified xsi:type="dcterms:W3CDTF">2026-08-26T23:11:48Z</dcterms:modified>
</cp:coreProperties>
</file>