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3EE4D86B-0F7E-42AF-B590-E207538D49A8}" xr6:coauthVersionLast="36" xr6:coauthVersionMax="36" xr10:uidLastSave="{00000000-0000-0000-0000-000000000000}"/>
  <bookViews>
    <workbookView xWindow="0" yWindow="0" windowWidth="28800" windowHeight="12105" activeTab="1" xr2:uid="{8AC3BFE0-796C-44EF-8B5F-5E49284BBC29}"/>
  </bookViews>
  <sheets>
    <sheet name="MEIAS" sheetId="1" r:id="rId1"/>
    <sheet name="MARCENARIA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D2" i="3"/>
  <c r="D3" i="3"/>
  <c r="D4" i="3"/>
  <c r="D5" i="3"/>
  <c r="D6" i="3"/>
  <c r="C3" i="3"/>
  <c r="C4" i="3"/>
  <c r="C5" i="3"/>
  <c r="C6" i="3"/>
  <c r="C2" i="3"/>
  <c r="E3" i="1"/>
  <c r="E4" i="1"/>
  <c r="E5" i="1"/>
  <c r="E6" i="1"/>
  <c r="D3" i="1"/>
  <c r="D4" i="1"/>
  <c r="D5" i="1"/>
  <c r="D6" i="1"/>
  <c r="C6" i="1"/>
  <c r="C3" i="1"/>
  <c r="C4" i="1"/>
  <c r="C5" i="1"/>
  <c r="C2" i="1"/>
  <c r="E2" i="1"/>
  <c r="D2" i="1"/>
</calcChain>
</file>

<file path=xl/sharedStrings.xml><?xml version="1.0" encoding="utf-8"?>
<sst xmlns="http://schemas.openxmlformats.org/spreadsheetml/2006/main" count="10" uniqueCount="7">
  <si>
    <t>Função Objetivo</t>
  </si>
  <si>
    <t>Kit A</t>
  </si>
  <si>
    <t>Kit B</t>
  </si>
  <si>
    <t>R1 = Algodão</t>
  </si>
  <si>
    <t>R2 = Lã</t>
  </si>
  <si>
    <t>Mesa</t>
  </si>
  <si>
    <t>Armario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</si>
</sst>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165" fontId="0" fillId="0" borderId="0" xfId="0" applyNumberFormat="1"/>
    <xf numFmtId="165" fontId="1" fillId="2" borderId="0" xfId="1" applyNumberFormat="1"/>
  </cellXfs>
  <cellStyles count="2">
    <cellStyle name="Bom" xfId="1" builtinId="26"/>
    <cellStyle name="Normal" xfId="0" builtinId="0"/>
  </cellStyles>
  <dxfs count="20"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numFmt numFmtId="0" formatCode="General"/>
    </dxf>
    <dxf>
      <numFmt numFmtId="0" formatCode="General"/>
    </dxf>
    <dxf>
      <numFmt numFmtId="165" formatCode="&quot;R$&quot;\ #,##0.00"/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numFmt numFmtId="165" formatCode="&quot;R$&quot;\ #,##0.00"/>
    </dxf>
  </dxfs>
  <tableStyles count="0" defaultTableStyle="TableStyleMedium2" defaultPivotStyle="PivotStyleLight16"/>
  <colors>
    <mruColors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Vendedor de Meias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MEIAS!$B$1</c:f>
              <c:strCache>
                <c:ptCount val="1"/>
                <c:pt idx="0">
                  <c:v>Kit 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MEIAS!$A$2:$A$5</c:f>
              <c:numCache>
                <c:formatCode>General</c:formatCode>
                <c:ptCount val="4"/>
                <c:pt idx="0">
                  <c:v>0</c:v>
                </c:pt>
                <c:pt idx="1">
                  <c:v>12</c:v>
                </c:pt>
                <c:pt idx="2">
                  <c:v>0</c:v>
                </c:pt>
                <c:pt idx="3">
                  <c:v>21</c:v>
                </c:pt>
              </c:numCache>
            </c:numRef>
          </c:xVal>
          <c:yVal>
            <c:numRef>
              <c:f>MEIAS!$B$2:$B$5</c:f>
              <c:numCache>
                <c:formatCode>General</c:formatCode>
                <c:ptCount val="4"/>
                <c:pt idx="0">
                  <c:v>12</c:v>
                </c:pt>
                <c:pt idx="1">
                  <c:v>0</c:v>
                </c:pt>
                <c:pt idx="2">
                  <c:v>10.5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AC-4B21-9844-26671F615FBC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812372704"/>
        <c:axId val="819850496"/>
      </c:scatterChart>
      <c:valAx>
        <c:axId val="81237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KIT 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9850496"/>
        <c:crosses val="autoZero"/>
        <c:crossBetween val="midCat"/>
        <c:majorUnit val="1"/>
      </c:valAx>
      <c:valAx>
        <c:axId val="81985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KIT 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2372704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Marcenaria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MARCENARIA!$B$1</c:f>
              <c:strCache>
                <c:ptCount val="1"/>
                <c:pt idx="0">
                  <c:v>Armario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MARCENARIA!$A$2:$A$5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4</c:v>
                </c:pt>
              </c:numCache>
            </c:numRef>
          </c:xVal>
          <c:yVal>
            <c:numRef>
              <c:f>MARCENARIA!$B$2:$B$5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5D-4ED3-AA58-DFDB0DDC886F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812372704"/>
        <c:axId val="819850496"/>
      </c:scatterChart>
      <c:valAx>
        <c:axId val="81237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Mesa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9850496"/>
        <c:crosses val="autoZero"/>
        <c:crossBetween val="midCat"/>
        <c:majorUnit val="1"/>
      </c:valAx>
      <c:valAx>
        <c:axId val="81985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Armario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2372704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200024</xdr:colOff>
      <xdr:row>0</xdr:row>
      <xdr:rowOff>61911</xdr:rowOff>
    </xdr:from>
    <xdr:to>
      <xdr:col>15</xdr:col>
      <xdr:colOff>571500</xdr:colOff>
      <xdr:row>23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60CF9AF-73D2-4926-B966-6CD75233F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0.08882</cdr:x>
      <cdr:y>0.17744</cdr:y>
    </cdr:from>
    <cdr:to>
      <cdr:x>0.55081</cdr:x>
      <cdr:y>0.86329</cdr:y>
    </cdr:to>
    <cdr:cxnSp macro="">
      <cdr:nvCxnSpPr>
        <cdr:cNvPr id="3" name="Conector reto 2">
          <a:extLst xmlns:a="http://schemas.openxmlformats.org/drawingml/2006/main">
            <a:ext uri="{FF2B5EF4-FFF2-40B4-BE49-F238E27FC236}">
              <a16:creationId xmlns:a16="http://schemas.microsoft.com/office/drawing/2014/main" id="{53B67C5C-88D4-4324-AB54-28342AD98FE6}"/>
            </a:ext>
          </a:extLst>
        </cdr:cNvPr>
        <cdr:cNvCxnSpPr/>
      </cdr:nvCxnSpPr>
      <cdr:spPr>
        <a:xfrm xmlns:a="http://schemas.openxmlformats.org/drawingml/2006/main">
          <a:off x="574448" y="766476"/>
          <a:ext cx="2987903" cy="2962563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0.08423</cdr:x>
      <cdr:y>0.25722</cdr:y>
    </cdr:from>
    <cdr:to>
      <cdr:x>0.89249</cdr:x>
      <cdr:y>0.86329</cdr:y>
    </cdr:to>
    <cdr:cxnSp macro="">
      <cdr:nvCxnSpPr>
        <cdr:cNvPr id="5" name="Conector reto 4">
          <a:extLst xmlns:a="http://schemas.openxmlformats.org/drawingml/2006/main">
            <a:ext uri="{FF2B5EF4-FFF2-40B4-BE49-F238E27FC236}">
              <a16:creationId xmlns:a16="http://schemas.microsoft.com/office/drawing/2014/main" id="{F198E37C-AED7-41C3-93D9-60888376F771}"/>
            </a:ext>
          </a:extLst>
        </cdr:cNvPr>
        <cdr:cNvCxnSpPr/>
      </cdr:nvCxnSpPr>
      <cdr:spPr>
        <a:xfrm xmlns:a="http://schemas.openxmlformats.org/drawingml/2006/main">
          <a:off x="544735" y="1111092"/>
          <a:ext cx="5227416" cy="261794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0.08542</cdr:x>
      <cdr:y>0.34289</cdr:y>
    </cdr:from>
    <cdr:to>
      <cdr:x>0.20471</cdr:x>
      <cdr:y>0.8699</cdr:y>
    </cdr:to>
    <cdr:sp macro="" textlink="">
      <cdr:nvSpPr>
        <cdr:cNvPr id="8" name="Retângulo 7">
          <a:extLst xmlns:a="http://schemas.openxmlformats.org/drawingml/2006/main">
            <a:ext uri="{FF2B5EF4-FFF2-40B4-BE49-F238E27FC236}">
              <a16:creationId xmlns:a16="http://schemas.microsoft.com/office/drawing/2014/main" id="{550D4823-7B28-4307-8AA8-6EA5F26D80B4}"/>
            </a:ext>
          </a:extLst>
        </cdr:cNvPr>
        <cdr:cNvSpPr/>
      </cdr:nvSpPr>
      <cdr:spPr>
        <a:xfrm xmlns:a="http://schemas.openxmlformats.org/drawingml/2006/main">
          <a:off x="552451" y="1481139"/>
          <a:ext cx="771525" cy="2276475"/>
        </a:xfrm>
        <a:prstGeom xmlns:a="http://schemas.openxmlformats.org/drawingml/2006/main" prst="rect">
          <a:avLst/>
        </a:prstGeom>
        <a:pattFill xmlns:a="http://schemas.openxmlformats.org/drawingml/2006/main" prst="wdDnDiag">
          <a:fgClr>
            <a:schemeClr val="accent6">
              <a:lumMod val="75000"/>
            </a:schemeClr>
          </a:fgClr>
          <a:bgClr>
            <a:schemeClr val="bg1"/>
          </a:bgClr>
        </a:pattFill>
        <a:ln xmlns:a="http://schemas.openxmlformats.org/drawingml/2006/main">
          <a:solidFill>
            <a:schemeClr val="tx2">
              <a:alpha val="16000"/>
            </a:schemeClr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200024</xdr:colOff>
      <xdr:row>0</xdr:row>
      <xdr:rowOff>61911</xdr:rowOff>
    </xdr:from>
    <xdr:to>
      <xdr:col>16</xdr:col>
      <xdr:colOff>295275</xdr:colOff>
      <xdr:row>22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D8C49AA-B5E0-4BAB-8748-EF79CF274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0.07658</cdr:x>
      <cdr:y>0.19074</cdr:y>
    </cdr:from>
    <cdr:to>
      <cdr:x>0.58964</cdr:x>
      <cdr:y>0.86207</cdr:y>
    </cdr:to>
    <cdr:cxnSp macro="">
      <cdr:nvCxnSpPr>
        <cdr:cNvPr id="5" name="Conector reto 4">
          <a:extLst xmlns:a="http://schemas.openxmlformats.org/drawingml/2006/main">
            <a:ext uri="{FF2B5EF4-FFF2-40B4-BE49-F238E27FC236}">
              <a16:creationId xmlns:a16="http://schemas.microsoft.com/office/drawing/2014/main" id="{F198E37C-AED7-41C3-93D9-60888376F771}"/>
            </a:ext>
          </a:extLst>
        </cdr:cNvPr>
        <cdr:cNvCxnSpPr/>
      </cdr:nvCxnSpPr>
      <cdr:spPr>
        <a:xfrm xmlns:a="http://schemas.openxmlformats.org/drawingml/2006/main">
          <a:off x="520832" y="816647"/>
          <a:ext cx="3489194" cy="28742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0.07423</cdr:x>
      <cdr:y>0.69299</cdr:y>
    </cdr:from>
    <cdr:to>
      <cdr:x>0.46332</cdr:x>
      <cdr:y>0.86988</cdr:y>
    </cdr:to>
    <cdr:sp macro="" textlink="">
      <cdr:nvSpPr>
        <cdr:cNvPr id="8" name="Retângulo 7">
          <a:extLst xmlns:a="http://schemas.openxmlformats.org/drawingml/2006/main">
            <a:ext uri="{FF2B5EF4-FFF2-40B4-BE49-F238E27FC236}">
              <a16:creationId xmlns:a16="http://schemas.microsoft.com/office/drawing/2014/main" id="{550D4823-7B28-4307-8AA8-6EA5F26D80B4}"/>
            </a:ext>
          </a:extLst>
        </cdr:cNvPr>
        <cdr:cNvSpPr/>
      </cdr:nvSpPr>
      <cdr:spPr>
        <a:xfrm xmlns:a="http://schemas.openxmlformats.org/drawingml/2006/main">
          <a:off x="504827" y="2967039"/>
          <a:ext cx="2646162" cy="757344"/>
        </a:xfrm>
        <a:prstGeom xmlns:a="http://schemas.openxmlformats.org/drawingml/2006/main" prst="rect">
          <a:avLst/>
        </a:prstGeom>
        <a:pattFill xmlns:a="http://schemas.openxmlformats.org/drawingml/2006/main" prst="wdDnDiag">
          <a:fgClr>
            <a:schemeClr val="accent6">
              <a:lumMod val="75000"/>
            </a:schemeClr>
          </a:fgClr>
          <a:bgClr>
            <a:schemeClr val="bg1"/>
          </a:bgClr>
        </a:pattFill>
        <a:ln xmlns:a="http://schemas.openxmlformats.org/drawingml/2006/main">
          <a:solidFill>
            <a:schemeClr val="tx2">
              <a:alpha val="16000"/>
            </a:schemeClr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0.07563</cdr:x>
      <cdr:y>0.52614</cdr:y>
    </cdr:from>
    <cdr:to>
      <cdr:x>0.85014</cdr:x>
      <cdr:y>0.86874</cdr:y>
    </cdr:to>
    <cdr:cxnSp macro="">
      <cdr:nvCxnSpPr>
        <cdr:cNvPr id="9" name="Conector reto 8">
          <a:extLst xmlns:a="http://schemas.openxmlformats.org/drawingml/2006/main">
            <a:ext uri="{FF2B5EF4-FFF2-40B4-BE49-F238E27FC236}">
              <a16:creationId xmlns:a16="http://schemas.microsoft.com/office/drawing/2014/main" id="{6FF22B94-90AB-4F3C-BCDC-110E3292018C}"/>
            </a:ext>
          </a:extLst>
        </cdr:cNvPr>
        <cdr:cNvCxnSpPr/>
      </cdr:nvCxnSpPr>
      <cdr:spPr>
        <a:xfrm xmlns:a="http://schemas.openxmlformats.org/drawingml/2006/main">
          <a:off x="514351" y="2252664"/>
          <a:ext cx="5267325" cy="14668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92EF86-C117-4AAB-83FC-A9F29285C342}" name="Tabela1" displayName="Tabela1" ref="A1:E6" totalsRowShown="0">
  <autoFilter ref="A1:E6" xr:uid="{CBAE266A-04DC-45EF-8B1A-B772638344D1}"/>
  <tableColumns count="5">
    <tableColumn id="1" xr3:uid="{CD3C573B-0C34-40C3-BE2D-4CC62EED4169}" name="Kit A"/>
    <tableColumn id="2" xr3:uid="{233C09F4-EFE5-4067-8D0A-727EFB3A34C6}" name="Kit B"/>
    <tableColumn id="3" xr3:uid="{6E957160-AEF8-4502-A6F9-A254FB709B69}" name="Função Objetivo" dataDxfId="19">
      <calculatedColumnFormula>6*A2+8*B2</calculatedColumnFormula>
    </tableColumn>
    <tableColumn id="4" xr3:uid="{5E73BE8E-91D0-4391-B883-BB1694E2FB56}" name="R1 = Algodão">
      <calculatedColumnFormula>2*A2+2*B2</calculatedColumnFormula>
    </tableColumn>
    <tableColumn id="5" xr3:uid="{8FB0880A-DD5D-4790-A7A9-6C286EF0FC49}" name="R2 = Lã">
      <calculatedColumnFormula>4*A2+8*B2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361A9C-2C96-47F8-BF3F-984C47D8792C}" name="Tabela13" displayName="Tabela13" ref="A1:E6" totalsRowShown="0">
  <autoFilter ref="A1:E6" xr:uid="{CBAE266A-04DC-45EF-8B1A-B772638344D1}"/>
  <tableColumns count="5">
    <tableColumn id="1" xr3:uid="{243F2FF8-6FFB-48E8-A0A8-9E27635C554E}" name="Mesa"/>
    <tableColumn id="2" xr3:uid="{936CC617-A79F-4905-94F7-13BFF79EEC6B}" name="Armario"/>
    <tableColumn id="3" xr3:uid="{D6BAF88C-0AE3-4255-B2FA-BA17ABA26915}" name="Função Objetivo" dataDxfId="16">
      <calculatedColumnFormula>4*A2+3*B2</calculatedColumnFormula>
    </tableColumn>
    <tableColumn id="4" xr3:uid="{963FD4E7-90E3-4ECF-90B5-A6A166678D50}" name="R1 = Algodão" dataDxfId="15">
      <calculatedColumnFormula>2*A2+3*B2</calculatedColumnFormula>
    </tableColumn>
    <tableColumn id="5" xr3:uid="{12F9FD07-8BE4-4AB5-8264-89A97F8C4BAE}" name="R2 = Lã" dataDxfId="14">
      <calculatedColumnFormula>2*A2+1*B2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A6AD-6FF4-489A-AF06-F6BF943E9C2F}">
  <dimension ref="A1:E6"/>
  <sheetViews>
    <sheetView workbookViewId="0">
      <selection activeCell="C8" sqref="C8"/>
    </sheetView>
  </sheetViews>
  <sheetFormatPr defaultRowHeight="15" x14ac:dyDescent="0.25"/>
  <cols>
    <col min="3" max="3" width="21.140625" customWidth="1"/>
    <col min="4" max="4" width="14.5703125" bestFit="1" customWidth="1"/>
    <col min="5" max="5" width="16.85546875" customWidth="1"/>
  </cols>
  <sheetData>
    <row r="1" spans="1:5" x14ac:dyDescent="0.25">
      <c r="A1" t="s">
        <v>1</v>
      </c>
      <c r="B1" t="s">
        <v>2</v>
      </c>
      <c r="C1" t="s">
        <v>0</v>
      </c>
      <c r="D1" t="s">
        <v>3</v>
      </c>
      <c r="E1" t="s">
        <v>4</v>
      </c>
    </row>
    <row r="2" spans="1:5" x14ac:dyDescent="0.25">
      <c r="A2">
        <v>0</v>
      </c>
      <c r="B2">
        <v>12</v>
      </c>
      <c r="C2" s="1">
        <f>6*A2+8*B2</f>
        <v>96</v>
      </c>
      <c r="D2">
        <f>2*A2+2*B2</f>
        <v>24</v>
      </c>
      <c r="E2">
        <f>4*A2+8*B2</f>
        <v>96</v>
      </c>
    </row>
    <row r="3" spans="1:5" x14ac:dyDescent="0.25">
      <c r="A3">
        <v>12</v>
      </c>
      <c r="B3">
        <v>0</v>
      </c>
      <c r="C3" s="1">
        <f t="shared" ref="C3:C6" si="0">6*A3+8*B3</f>
        <v>72</v>
      </c>
      <c r="D3">
        <f t="shared" ref="D3:D6" si="1">2*A3+2*B3</f>
        <v>24</v>
      </c>
      <c r="E3">
        <f>4*A3+8*B3</f>
        <v>48</v>
      </c>
    </row>
    <row r="4" spans="1:5" x14ac:dyDescent="0.25">
      <c r="A4">
        <v>0</v>
      </c>
      <c r="B4">
        <v>10.5</v>
      </c>
      <c r="C4" s="1">
        <f t="shared" si="0"/>
        <v>84</v>
      </c>
      <c r="D4">
        <f t="shared" si="1"/>
        <v>21</v>
      </c>
      <c r="E4">
        <f t="shared" ref="E3:E6" si="2">4*A4+8*B4</f>
        <v>84</v>
      </c>
    </row>
    <row r="5" spans="1:5" x14ac:dyDescent="0.25">
      <c r="A5">
        <v>21</v>
      </c>
      <c r="B5">
        <v>0</v>
      </c>
      <c r="C5" s="1">
        <f t="shared" si="0"/>
        <v>126</v>
      </c>
      <c r="D5">
        <f t="shared" si="1"/>
        <v>42</v>
      </c>
      <c r="E5">
        <f t="shared" si="2"/>
        <v>84</v>
      </c>
    </row>
    <row r="6" spans="1:5" x14ac:dyDescent="0.25">
      <c r="A6">
        <v>3</v>
      </c>
      <c r="B6">
        <v>9</v>
      </c>
      <c r="C6" s="2">
        <f t="shared" si="0"/>
        <v>90</v>
      </c>
      <c r="D6">
        <f t="shared" si="1"/>
        <v>24</v>
      </c>
      <c r="E6">
        <f t="shared" si="2"/>
        <v>84</v>
      </c>
    </row>
  </sheetData>
  <conditionalFormatting sqref="D2:D6">
    <cfRule type="cellIs" dxfId="18" priority="2" operator="lessThanOrEqual">
      <formula>24</formula>
    </cfRule>
  </conditionalFormatting>
  <conditionalFormatting sqref="E2:E6">
    <cfRule type="cellIs" dxfId="17" priority="1" operator="lessThanOrEqual">
      <formula>84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1984-F786-4702-9C38-15735DB43BB7}">
  <dimension ref="A1:E6"/>
  <sheetViews>
    <sheetView tabSelected="1" workbookViewId="0">
      <selection activeCell="D6" sqref="D6"/>
    </sheetView>
  </sheetViews>
  <sheetFormatPr defaultRowHeight="15" x14ac:dyDescent="0.25"/>
  <cols>
    <col min="3" max="3" width="21.140625" customWidth="1"/>
    <col min="4" max="4" width="14.5703125" bestFit="1" customWidth="1"/>
    <col min="5" max="5" width="16.85546875" customWidth="1"/>
  </cols>
  <sheetData>
    <row r="1" spans="1:5" x14ac:dyDescent="0.25">
      <c r="A1" t="s">
        <v>5</v>
      </c>
      <c r="B1" t="s">
        <v>6</v>
      </c>
      <c r="C1" t="s">
        <v>0</v>
      </c>
      <c r="D1" t="s">
        <v>3</v>
      </c>
      <c r="E1" t="s">
        <v>4</v>
      </c>
    </row>
    <row r="2" spans="1:5" x14ac:dyDescent="0.25">
      <c r="A2">
        <v>0</v>
      </c>
      <c r="B2">
        <v>4</v>
      </c>
      <c r="C2" s="1">
        <f t="shared" ref="C2:C6" si="0">4*A2+3*B2</f>
        <v>12</v>
      </c>
      <c r="D2">
        <f t="shared" ref="D2:D6" si="1">2*A2+3*B2</f>
        <v>12</v>
      </c>
      <c r="E2">
        <f t="shared" ref="E2:E6" si="2">2*A2+1*B2</f>
        <v>4</v>
      </c>
    </row>
    <row r="3" spans="1:5" x14ac:dyDescent="0.25">
      <c r="A3">
        <v>6</v>
      </c>
      <c r="B3">
        <v>0</v>
      </c>
      <c r="C3" s="1">
        <f t="shared" si="0"/>
        <v>24</v>
      </c>
      <c r="D3">
        <f t="shared" si="1"/>
        <v>12</v>
      </c>
      <c r="E3">
        <f t="shared" si="2"/>
        <v>12</v>
      </c>
    </row>
    <row r="4" spans="1:5" x14ac:dyDescent="0.25">
      <c r="A4">
        <v>0</v>
      </c>
      <c r="B4">
        <v>8</v>
      </c>
      <c r="C4" s="1">
        <f t="shared" si="0"/>
        <v>24</v>
      </c>
      <c r="D4">
        <f t="shared" si="1"/>
        <v>24</v>
      </c>
      <c r="E4">
        <f t="shared" si="2"/>
        <v>8</v>
      </c>
    </row>
    <row r="5" spans="1:5" x14ac:dyDescent="0.25">
      <c r="A5">
        <v>4</v>
      </c>
      <c r="B5">
        <v>0</v>
      </c>
      <c r="C5" s="1">
        <f t="shared" si="0"/>
        <v>16</v>
      </c>
      <c r="D5">
        <f t="shared" si="1"/>
        <v>8</v>
      </c>
      <c r="E5">
        <f t="shared" si="2"/>
        <v>8</v>
      </c>
    </row>
    <row r="6" spans="1:5" x14ac:dyDescent="0.25">
      <c r="A6">
        <v>3</v>
      </c>
      <c r="B6">
        <v>2</v>
      </c>
      <c r="C6" s="2">
        <f t="shared" si="0"/>
        <v>18</v>
      </c>
      <c r="D6">
        <f t="shared" si="1"/>
        <v>12</v>
      </c>
      <c r="E6">
        <f t="shared" si="2"/>
        <v>8</v>
      </c>
    </row>
  </sheetData>
  <conditionalFormatting sqref="D2:D6">
    <cfRule type="cellIs" dxfId="7" priority="4" operator="lessThanOrEqual">
      <formula>12</formula>
    </cfRule>
    <cfRule type="cellIs" dxfId="6" priority="2" operator="greaterThan">
      <formula>12</formula>
    </cfRule>
  </conditionalFormatting>
  <conditionalFormatting sqref="E2:E6">
    <cfRule type="cellIs" dxfId="5" priority="3" operator="lessThanOrEqual">
      <formula>8</formula>
    </cfRule>
  </conditionalFormatting>
  <conditionalFormatting sqref="E2:E1048576">
    <cfRule type="cellIs" dxfId="4" priority="1" operator="greaterThan">
      <formula>8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MEIAS</vt:lpstr>
      <vt:lpstr>MARCENARIA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2026-08-19T23:40:17Z</dcterms:created>
  <dcterms:modified xsi:type="dcterms:W3CDTF">2026-08-20T00:48:17Z</dcterms:modified>
</cp:coreProperties>
</file>