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08DC1DC2-DADF-4825-B68D-52F31E5E8208}" xr6:coauthVersionLast="36" xr6:coauthVersionMax="36" xr10:uidLastSave="{00000000-0000-0000-0000-000000000000}"/>
  <bookViews>
    <workbookView xWindow="0" yWindow="0" windowWidth="28800" windowHeight="12105" xr2:uid="{759A8800-CD47-4849-AA2E-61C2ECE26B63}"/>
  </bookViews>
  <sheets>
    <sheet name="EX1" sheetId="6" r:id="rId1"/>
    <sheet name="EX2" sheetId="9" r:id="rId2"/>
    <sheet name="EX3" sheetId="7" r:id="rId3"/>
    <sheet name="EX4" sheetId="8" r:id="rId4"/>
  </sheets>
  <definedNames>
    <definedName name="solver_adj" localSheetId="0" hidden="1">'EX1'!$B$4:$D$4</definedName>
    <definedName name="solver_adj" localSheetId="1" hidden="1">'EX2'!$B$2:$D$2</definedName>
    <definedName name="solver_adj" localSheetId="2" hidden="1">'EX3'!$B$2:$C$2</definedName>
    <definedName name="solver_adj" localSheetId="3" hidden="1">'EX4'!$B$2:$D$2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'EX1'!$E$9:$E$11</definedName>
    <definedName name="solver_lhs1" localSheetId="1" hidden="1">'EX2'!$E$10</definedName>
    <definedName name="solver_lhs1" localSheetId="2" hidden="1">'EX3'!$D$7:$D$8</definedName>
    <definedName name="solver_lhs1" localSheetId="3" hidden="1">'EX4'!$E$7:$E$8</definedName>
    <definedName name="solver_lhs2" localSheetId="1" hidden="1">'EX2'!$E$11</definedName>
    <definedName name="solver_lhs2" localSheetId="3" hidden="1">'EX4'!$E$9:$E$11</definedName>
    <definedName name="solver_lhs3" localSheetId="1" hidden="1">'EX2'!$E$7:$E$9</definedName>
    <definedName name="solver_lhs4" localSheetId="1" hidden="1">'EX2'!$E$7:$E$9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3</definedName>
    <definedName name="solver_num" localSheetId="2" hidden="1">1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'EX1'!$B$6</definedName>
    <definedName name="solver_opt" localSheetId="1" hidden="1">'EX2'!$B$4</definedName>
    <definedName name="solver_opt" localSheetId="2" hidden="1">'EX3'!$B$4</definedName>
    <definedName name="solver_opt" localSheetId="3" hidden="1">'EX4'!$B$4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2" localSheetId="1" hidden="1">1</definedName>
    <definedName name="solver_rel2" localSheetId="3" hidden="1">1</definedName>
    <definedName name="solver_rel3" localSheetId="1" hidden="1">1</definedName>
    <definedName name="solver_rel4" localSheetId="1" hidden="1">1</definedName>
    <definedName name="solver_rhs1" localSheetId="0" hidden="1">'EX1'!$F$9:$F$11</definedName>
    <definedName name="solver_rhs1" localSheetId="1" hidden="1">'EX2'!$F$10</definedName>
    <definedName name="solver_rhs1" localSheetId="2" hidden="1">'EX3'!$E$7:$E$8</definedName>
    <definedName name="solver_rhs1" localSheetId="3" hidden="1">'EX4'!$F$7:$F$8</definedName>
    <definedName name="solver_rhs2" localSheetId="1" hidden="1">'EX2'!$F$11</definedName>
    <definedName name="solver_rhs2" localSheetId="3" hidden="1">'EX4'!$F$9:$F$11</definedName>
    <definedName name="solver_rhs3" localSheetId="1" hidden="1">'EX2'!$F$7:$F$9</definedName>
    <definedName name="solver_rhs4" localSheetId="1" hidden="1">'EX2'!$F$7:$F$9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8" l="1"/>
  <c r="F7" i="8"/>
  <c r="E7" i="8"/>
  <c r="B4" i="8"/>
  <c r="E11" i="8"/>
  <c r="E10" i="8"/>
  <c r="F10" i="9"/>
  <c r="B4" i="9"/>
  <c r="E10" i="9"/>
  <c r="E11" i="9"/>
  <c r="E9" i="9"/>
  <c r="E8" i="9"/>
  <c r="E7" i="9"/>
  <c r="E9" i="8"/>
  <c r="E8" i="8"/>
  <c r="D8" i="7" l="1"/>
  <c r="D7" i="7"/>
  <c r="B4" i="7"/>
  <c r="E10" i="6"/>
  <c r="E11" i="6"/>
  <c r="E9" i="6"/>
  <c r="B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4" authorId="0" shapeId="0" xr:uid="{6F411FB0-3393-4D44-B310-E393B8832E6D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5" authorId="0" shapeId="0" xr:uid="{93D2B0D8-094B-4BEF-8E47-FDE3E93C2753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8" authorId="0" shapeId="0" xr:uid="{304A0FA9-F67C-4BB9-B5EC-E6C5C15410BB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2" authorId="0" shapeId="0" xr:uid="{7911FB52-0F03-4462-9EA0-0C03305E31A6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3" authorId="0" shapeId="0" xr:uid="{C1C5060A-23C4-45DB-BAB3-A51A18E863A0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6" authorId="0" shapeId="0" xr:uid="{56801E04-D332-47DB-9F13-245D67AB431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2" authorId="0" shapeId="0" xr:uid="{425126D6-5C33-4C7F-8B70-D128356E7E14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3" authorId="0" shapeId="0" xr:uid="{08E37327-41BE-437E-AC94-23E4E623FD85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D6" authorId="0" shapeId="0" xr:uid="{535C3D15-DDAE-4C12-B769-D3520156D39E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2" authorId="0" shapeId="0" xr:uid="{319BB51A-62F0-4828-96AF-1C33200FC998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3" authorId="0" shapeId="0" xr:uid="{622D0488-761E-4675-88F0-2A7DCB2957CD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6" authorId="0" shapeId="0" xr:uid="{61FE44E0-97E5-423A-B69D-672202332A0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sharedStrings.xml><?xml version="1.0" encoding="utf-8"?>
<sst xmlns="http://schemas.openxmlformats.org/spreadsheetml/2006/main" count="64" uniqueCount="34">
  <si>
    <t>Quantidade:</t>
  </si>
  <si>
    <t>Lucro:</t>
  </si>
  <si>
    <t>Restrições</t>
  </si>
  <si>
    <t>Usado</t>
  </si>
  <si>
    <t>Disponível</t>
  </si>
  <si>
    <t>Variáveis:</t>
  </si>
  <si>
    <t>Função Objetivo:</t>
  </si>
  <si>
    <t>Terno</t>
  </si>
  <si>
    <t>Vestido</t>
  </si>
  <si>
    <t>Algodão</t>
  </si>
  <si>
    <t>Seda</t>
  </si>
  <si>
    <t>Lã</t>
  </si>
  <si>
    <t>Custo:</t>
  </si>
  <si>
    <t>CA</t>
  </si>
  <si>
    <t>CB</t>
  </si>
  <si>
    <t>Refrigerado</t>
  </si>
  <si>
    <t>Não refrigerado</t>
  </si>
  <si>
    <t>Brasil</t>
  </si>
  <si>
    <t>Colômbia</t>
  </si>
  <si>
    <t>Peru</t>
  </si>
  <si>
    <t>Aroma</t>
  </si>
  <si>
    <t>Intensidade</t>
  </si>
  <si>
    <t>Verde</t>
  </si>
  <si>
    <t>Azul</t>
  </si>
  <si>
    <t>Comum</t>
  </si>
  <si>
    <t>G. Pura</t>
  </si>
  <si>
    <t>G. Octana</t>
  </si>
  <si>
    <t>Aditivo</t>
  </si>
  <si>
    <t>Pcomum</t>
  </si>
  <si>
    <t>Pazul</t>
  </si>
  <si>
    <t>Qtd. Brasil disponivel (kg)</t>
  </si>
  <si>
    <t>Qtd. Colombia disponivel (kg)</t>
  </si>
  <si>
    <t>Qtd. Peru disponivel (kg)</t>
  </si>
  <si>
    <t>ALUNOS: DAVI RODRIGUES E DANTE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</si>
</sst>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4" fillId="3" borderId="1" xfId="1" applyBorder="1"/>
    <xf numFmtId="44" fontId="4" fillId="3" borderId="1" xfId="2" applyFont="1" applyFill="1" applyBorder="1"/>
    <xf numFmtId="4" fontId="1" fillId="0" borderId="1" xfId="0" applyNumberFormat="1" applyFont="1" applyBorder="1" applyAlignment="1">
      <alignment horizontal="center"/>
    </xf>
    <xf numFmtId="4" fontId="1" fillId="2" borderId="1" xfId="0" applyNumberFormat="1" applyFont="1" applyFill="1" applyBorder="1"/>
  </cellXfs>
  <cellStyles count="3">
    <cellStyle name="Bom" xfId="1" builtinId="26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526E-FE79-4EF8-BBD7-1576CADA9B99}">
  <dimension ref="A1:F11"/>
  <sheetViews>
    <sheetView showGridLines="0" tabSelected="1" workbookViewId="0"/>
  </sheetViews>
  <sheetFormatPr defaultRowHeight="15" x14ac:dyDescent="0.25"/>
  <cols>
    <col min="1" max="1" width="16.85546875" customWidth="1"/>
    <col min="5" max="5" width="10" bestFit="1" customWidth="1"/>
    <col min="6" max="6" width="13.85546875" customWidth="1"/>
  </cols>
  <sheetData>
    <row r="1" spans="1:6" x14ac:dyDescent="0.25">
      <c r="A1" t="s">
        <v>33</v>
      </c>
    </row>
    <row r="3" spans="1:6" x14ac:dyDescent="0.25">
      <c r="A3" s="1" t="s">
        <v>5</v>
      </c>
      <c r="B3" s="1" t="s">
        <v>7</v>
      </c>
      <c r="C3" s="1" t="s">
        <v>8</v>
      </c>
      <c r="D3" s="1"/>
    </row>
    <row r="4" spans="1:6" x14ac:dyDescent="0.25">
      <c r="A4" s="1" t="s">
        <v>0</v>
      </c>
      <c r="B4" s="4">
        <v>7</v>
      </c>
      <c r="C4" s="4">
        <v>1.9999999999999996</v>
      </c>
      <c r="D4" s="4">
        <v>0</v>
      </c>
    </row>
    <row r="5" spans="1:6" x14ac:dyDescent="0.25">
      <c r="A5" s="1" t="s">
        <v>1</v>
      </c>
      <c r="B5" s="1">
        <v>300</v>
      </c>
      <c r="C5" s="1">
        <v>500</v>
      </c>
      <c r="D5" s="1"/>
    </row>
    <row r="6" spans="1:6" x14ac:dyDescent="0.25">
      <c r="A6" s="1" t="s">
        <v>6</v>
      </c>
      <c r="B6" s="5">
        <f>SUMPRODUCT(B4:C4,B5:C5)</f>
        <v>3100</v>
      </c>
      <c r="C6" s="5"/>
      <c r="D6" s="1"/>
    </row>
    <row r="8" spans="1:6" x14ac:dyDescent="0.25">
      <c r="A8" s="3" t="s">
        <v>2</v>
      </c>
      <c r="B8" s="3" t="s">
        <v>7</v>
      </c>
      <c r="C8" s="3" t="s">
        <v>8</v>
      </c>
      <c r="D8" s="3"/>
      <c r="E8" s="3" t="s">
        <v>3</v>
      </c>
      <c r="F8" s="3" t="s">
        <v>4</v>
      </c>
    </row>
    <row r="9" spans="1:6" x14ac:dyDescent="0.25">
      <c r="A9" s="3" t="s">
        <v>9</v>
      </c>
      <c r="B9" s="3">
        <v>2</v>
      </c>
      <c r="C9" s="3">
        <v>1</v>
      </c>
      <c r="D9" s="3"/>
      <c r="E9" s="2">
        <f>SUMPRODUCT(B9:C9,$B$4:$C$4)</f>
        <v>16</v>
      </c>
      <c r="F9" s="3">
        <v>16</v>
      </c>
    </row>
    <row r="10" spans="1:6" x14ac:dyDescent="0.25">
      <c r="A10" s="3" t="s">
        <v>10</v>
      </c>
      <c r="B10" s="3">
        <v>1</v>
      </c>
      <c r="C10" s="3">
        <v>2</v>
      </c>
      <c r="D10" s="3"/>
      <c r="E10" s="2">
        <f>SUMPRODUCT(B10:C10,$B$4:$C$4)</f>
        <v>11</v>
      </c>
      <c r="F10" s="3">
        <v>11</v>
      </c>
    </row>
    <row r="11" spans="1:6" x14ac:dyDescent="0.25">
      <c r="A11" s="3" t="s">
        <v>11</v>
      </c>
      <c r="B11" s="3">
        <v>1</v>
      </c>
      <c r="C11" s="3">
        <v>3</v>
      </c>
      <c r="D11" s="3"/>
      <c r="E11" s="2">
        <f>SUMPRODUCT(B11:C11,$B$4:$C$4)</f>
        <v>12.999999999999998</v>
      </c>
      <c r="F11" s="3">
        <v>15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DFCF-1D81-413F-9EB9-53F1649E20D5}">
  <dimension ref="A1:F11"/>
  <sheetViews>
    <sheetView showGridLines="0" workbookViewId="0">
      <selection activeCell="F10" sqref="F10"/>
    </sheetView>
  </sheetViews>
  <sheetFormatPr defaultRowHeight="15" x14ac:dyDescent="0.25"/>
  <cols>
    <col min="1" max="1" width="16.85546875" customWidth="1"/>
    <col min="2" max="2" width="15.85546875" bestFit="1" customWidth="1"/>
    <col min="3" max="3" width="11.28515625" bestFit="1" customWidth="1"/>
    <col min="4" max="4" width="13.7109375" bestFit="1" customWidth="1"/>
    <col min="5" max="5" width="13.85546875" customWidth="1"/>
    <col min="6" max="6" width="13.7109375" bestFit="1" customWidth="1"/>
  </cols>
  <sheetData>
    <row r="1" spans="1:6" x14ac:dyDescent="0.25">
      <c r="A1" s="1" t="s">
        <v>5</v>
      </c>
      <c r="B1" s="3" t="s">
        <v>22</v>
      </c>
      <c r="C1" s="3" t="s">
        <v>23</v>
      </c>
      <c r="D1" s="3" t="s">
        <v>24</v>
      </c>
    </row>
    <row r="2" spans="1:6" x14ac:dyDescent="0.25">
      <c r="A2" s="1" t="s">
        <v>0</v>
      </c>
      <c r="B2" s="8">
        <v>770149.25373134331</v>
      </c>
      <c r="C2" s="8">
        <v>600000</v>
      </c>
      <c r="D2" s="8">
        <v>12322388.059701493</v>
      </c>
    </row>
    <row r="3" spans="1:6" x14ac:dyDescent="0.25">
      <c r="A3" s="1" t="s">
        <v>1</v>
      </c>
      <c r="B3" s="1">
        <v>0.3</v>
      </c>
      <c r="C3" s="1">
        <v>0.25</v>
      </c>
      <c r="D3" s="1">
        <v>0.2</v>
      </c>
    </row>
    <row r="4" spans="1:6" x14ac:dyDescent="0.25">
      <c r="A4" s="1" t="s">
        <v>6</v>
      </c>
      <c r="B4" s="6">
        <f>SUMPRODUCT(B2:D2,B3:D3)</f>
        <v>2845522.3880597018</v>
      </c>
      <c r="C4" s="5"/>
      <c r="D4" s="5"/>
    </row>
    <row r="6" spans="1:6" x14ac:dyDescent="0.25">
      <c r="A6" s="3" t="s">
        <v>2</v>
      </c>
      <c r="B6" s="3" t="s">
        <v>22</v>
      </c>
      <c r="C6" s="3" t="s">
        <v>23</v>
      </c>
      <c r="D6" s="3" t="s">
        <v>24</v>
      </c>
      <c r="E6" s="3" t="s">
        <v>3</v>
      </c>
      <c r="F6" s="3" t="s">
        <v>4</v>
      </c>
    </row>
    <row r="7" spans="1:6" x14ac:dyDescent="0.25">
      <c r="A7" s="3" t="s">
        <v>25</v>
      </c>
      <c r="B7" s="3">
        <v>0.22</v>
      </c>
      <c r="C7" s="3">
        <v>0.52</v>
      </c>
      <c r="D7" s="3">
        <v>0.74</v>
      </c>
      <c r="E7" s="8">
        <f>SUMPRODUCT(B7:D7,$B$2:$D$2)</f>
        <v>9600000</v>
      </c>
      <c r="F7" s="7">
        <v>9600000</v>
      </c>
    </row>
    <row r="8" spans="1:6" x14ac:dyDescent="0.25">
      <c r="A8" s="3" t="s">
        <v>26</v>
      </c>
      <c r="B8" s="3">
        <v>0.5</v>
      </c>
      <c r="C8" s="3">
        <v>0.34</v>
      </c>
      <c r="D8" s="3">
        <v>0.2</v>
      </c>
      <c r="E8" s="8">
        <f t="shared" ref="E8" si="0">SUMPRODUCT(B8:D8,$B$2:$D$2)</f>
        <v>3053552.2388059702</v>
      </c>
      <c r="F8" s="7">
        <v>4800000</v>
      </c>
    </row>
    <row r="9" spans="1:6" x14ac:dyDescent="0.25">
      <c r="A9" s="3" t="s">
        <v>27</v>
      </c>
      <c r="B9" s="3">
        <v>0.28000000000000003</v>
      </c>
      <c r="C9" s="3">
        <v>0.14000000000000001</v>
      </c>
      <c r="D9" s="3">
        <v>0.06</v>
      </c>
      <c r="E9" s="8">
        <f>SUMPRODUCT(B9:D9,$B$2:$D$2)</f>
        <v>1038985.0746268658</v>
      </c>
      <c r="F9" s="7">
        <v>2200000</v>
      </c>
    </row>
    <row r="10" spans="1:6" x14ac:dyDescent="0.25">
      <c r="A10" s="3" t="s">
        <v>28</v>
      </c>
      <c r="B10" s="3">
        <v>0</v>
      </c>
      <c r="C10" s="3">
        <v>0</v>
      </c>
      <c r="D10" s="3">
        <v>1</v>
      </c>
      <c r="E10" s="8">
        <f t="shared" ref="E10:E11" si="1">SUMPRODUCT(B10:D10,$B$2:$D$2)</f>
        <v>12322388.059701493</v>
      </c>
      <c r="F10" s="7">
        <f>16*B2</f>
        <v>12322388.059701493</v>
      </c>
    </row>
    <row r="11" spans="1:6" x14ac:dyDescent="0.25">
      <c r="A11" s="3" t="s">
        <v>29</v>
      </c>
      <c r="B11" s="3">
        <v>0</v>
      </c>
      <c r="C11" s="3">
        <v>1</v>
      </c>
      <c r="D11" s="3">
        <v>0</v>
      </c>
      <c r="E11" s="8">
        <f t="shared" si="1"/>
        <v>600000</v>
      </c>
      <c r="F11" s="7">
        <v>600000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C76F-F4D2-48BB-A98F-18835D00FFAA}">
  <dimension ref="A1:E8"/>
  <sheetViews>
    <sheetView showGridLines="0" workbookViewId="0">
      <selection activeCell="B4" sqref="B4"/>
    </sheetView>
  </sheetViews>
  <sheetFormatPr defaultRowHeight="15" x14ac:dyDescent="0.25"/>
  <cols>
    <col min="1" max="1" width="16.85546875" customWidth="1"/>
    <col min="4" max="4" width="10" bestFit="1" customWidth="1"/>
    <col min="5" max="5" width="13.85546875" customWidth="1"/>
  </cols>
  <sheetData>
    <row r="1" spans="1:5" x14ac:dyDescent="0.25">
      <c r="A1" s="1" t="s">
        <v>5</v>
      </c>
      <c r="B1" s="1" t="s">
        <v>13</v>
      </c>
      <c r="C1" s="1" t="s">
        <v>14</v>
      </c>
    </row>
    <row r="2" spans="1:5" x14ac:dyDescent="0.25">
      <c r="A2" s="1" t="s">
        <v>0</v>
      </c>
      <c r="B2" s="4">
        <v>15</v>
      </c>
      <c r="C2" s="4">
        <v>20</v>
      </c>
    </row>
    <row r="3" spans="1:5" x14ac:dyDescent="0.25">
      <c r="A3" s="1" t="s">
        <v>12</v>
      </c>
      <c r="B3" s="1">
        <v>0.3</v>
      </c>
      <c r="C3" s="1">
        <v>0.4</v>
      </c>
    </row>
    <row r="4" spans="1:5" x14ac:dyDescent="0.25">
      <c r="A4" s="1" t="s">
        <v>6</v>
      </c>
      <c r="B4" s="5">
        <f>SUMPRODUCT(B2:C2,B3:C3)</f>
        <v>12.5</v>
      </c>
      <c r="C4" s="5"/>
    </row>
    <row r="6" spans="1:5" x14ac:dyDescent="0.25">
      <c r="A6" s="3" t="s">
        <v>2</v>
      </c>
      <c r="B6" s="1" t="s">
        <v>13</v>
      </c>
      <c r="C6" s="1" t="s">
        <v>14</v>
      </c>
      <c r="D6" s="3" t="s">
        <v>3</v>
      </c>
      <c r="E6" s="3" t="s">
        <v>4</v>
      </c>
    </row>
    <row r="7" spans="1:5" x14ac:dyDescent="0.25">
      <c r="A7" s="3" t="s">
        <v>15</v>
      </c>
      <c r="B7" s="3">
        <v>2</v>
      </c>
      <c r="C7" s="3">
        <v>3</v>
      </c>
      <c r="D7" s="2">
        <f>SUMPRODUCT(B7:C7,$B$2:$C$2)</f>
        <v>90</v>
      </c>
      <c r="E7" s="3">
        <v>90</v>
      </c>
    </row>
    <row r="8" spans="1:5" x14ac:dyDescent="0.25">
      <c r="A8" s="3" t="s">
        <v>16</v>
      </c>
      <c r="B8" s="3">
        <v>4</v>
      </c>
      <c r="C8" s="3">
        <v>3</v>
      </c>
      <c r="D8" s="2">
        <f>SUMPRODUCT(B8:C8,$B$2:$C$2)</f>
        <v>120</v>
      </c>
      <c r="E8" s="3">
        <v>120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6746-45B2-4350-BDF5-97F0D4C77E22}">
  <dimension ref="A1:F11"/>
  <sheetViews>
    <sheetView showGridLines="0" workbookViewId="0">
      <selection activeCell="E9" sqref="E9"/>
    </sheetView>
  </sheetViews>
  <sheetFormatPr defaultRowHeight="15" x14ac:dyDescent="0.25"/>
  <cols>
    <col min="1" max="1" width="36.140625" customWidth="1"/>
    <col min="2" max="2" width="12.140625" bestFit="1" customWidth="1"/>
    <col min="3" max="3" width="10.140625" bestFit="1" customWidth="1"/>
    <col min="4" max="4" width="10" bestFit="1" customWidth="1"/>
    <col min="5" max="5" width="13.85546875" customWidth="1"/>
    <col min="6" max="6" width="11.28515625" bestFit="1" customWidth="1"/>
  </cols>
  <sheetData>
    <row r="1" spans="1:6" x14ac:dyDescent="0.25">
      <c r="A1" s="1" t="s">
        <v>5</v>
      </c>
      <c r="B1" s="3" t="s">
        <v>17</v>
      </c>
      <c r="C1" s="3" t="s">
        <v>18</v>
      </c>
      <c r="D1" s="3" t="s">
        <v>19</v>
      </c>
    </row>
    <row r="2" spans="1:6" x14ac:dyDescent="0.25">
      <c r="A2" s="1" t="s">
        <v>0</v>
      </c>
      <c r="B2" s="4">
        <v>1499.9999999999998</v>
      </c>
      <c r="C2" s="4">
        <v>491.66666666666674</v>
      </c>
      <c r="D2" s="4">
        <v>2000</v>
      </c>
    </row>
    <row r="3" spans="1:6" x14ac:dyDescent="0.25">
      <c r="A3" s="1" t="s">
        <v>12</v>
      </c>
      <c r="B3" s="1">
        <v>0.5</v>
      </c>
      <c r="C3" s="1">
        <v>0.6</v>
      </c>
      <c r="D3" s="1">
        <v>0.7</v>
      </c>
    </row>
    <row r="4" spans="1:6" x14ac:dyDescent="0.25">
      <c r="A4" s="1" t="s">
        <v>6</v>
      </c>
      <c r="B4" s="6">
        <f>SUMPRODUCT(B2:D2,B3:D3)</f>
        <v>2445</v>
      </c>
      <c r="C4" s="5"/>
      <c r="D4" s="5"/>
    </row>
    <row r="6" spans="1:6" x14ac:dyDescent="0.25">
      <c r="A6" s="3" t="s">
        <v>2</v>
      </c>
      <c r="B6" s="3" t="s">
        <v>17</v>
      </c>
      <c r="C6" s="3" t="s">
        <v>18</v>
      </c>
      <c r="D6" s="3" t="s">
        <v>19</v>
      </c>
      <c r="E6" s="3" t="s">
        <v>3</v>
      </c>
      <c r="F6" s="3" t="s">
        <v>4</v>
      </c>
    </row>
    <row r="7" spans="1:6" x14ac:dyDescent="0.25">
      <c r="A7" s="3" t="s">
        <v>20</v>
      </c>
      <c r="B7" s="3">
        <v>75</v>
      </c>
      <c r="C7" s="3">
        <v>60</v>
      </c>
      <c r="D7" s="3">
        <v>85</v>
      </c>
      <c r="E7" s="2">
        <f>SUMPRODUCT(B7:D7,$B$2:$D$2)</f>
        <v>312000</v>
      </c>
      <c r="F7" s="3">
        <f>78*4000</f>
        <v>312000</v>
      </c>
    </row>
    <row r="8" spans="1:6" x14ac:dyDescent="0.25">
      <c r="A8" s="3" t="s">
        <v>21</v>
      </c>
      <c r="B8" s="3">
        <v>15</v>
      </c>
      <c r="C8" s="3">
        <v>20</v>
      </c>
      <c r="D8" s="3">
        <v>18</v>
      </c>
      <c r="E8" s="2">
        <f t="shared" ref="E8:E9" si="0">SUMPRODUCT(B8:D8,$B$2:$D$2)</f>
        <v>68333.333333333328</v>
      </c>
      <c r="F8" s="3">
        <f>16*4000</f>
        <v>64000</v>
      </c>
    </row>
    <row r="9" spans="1:6" x14ac:dyDescent="0.25">
      <c r="A9" s="3" t="s">
        <v>30</v>
      </c>
      <c r="B9" s="3">
        <v>1</v>
      </c>
      <c r="C9" s="3">
        <v>0</v>
      </c>
      <c r="D9" s="3">
        <v>0</v>
      </c>
      <c r="E9" s="2">
        <f>SUMPRODUCT(B9:D9,$B$2:$D$2)</f>
        <v>1499.9999999999998</v>
      </c>
      <c r="F9" s="3">
        <v>1500</v>
      </c>
    </row>
    <row r="10" spans="1:6" x14ac:dyDescent="0.25">
      <c r="A10" s="3" t="s">
        <v>31</v>
      </c>
      <c r="B10" s="3">
        <v>0</v>
      </c>
      <c r="C10" s="3">
        <v>1</v>
      </c>
      <c r="D10" s="3">
        <v>0</v>
      </c>
      <c r="E10" s="2">
        <f t="shared" ref="E10:E11" si="1">SUMPRODUCT(B10:D10,$B$2:$D$2)</f>
        <v>491.66666666666674</v>
      </c>
      <c r="F10" s="3">
        <v>1200</v>
      </c>
    </row>
    <row r="11" spans="1:6" x14ac:dyDescent="0.25">
      <c r="A11" s="3" t="s">
        <v>32</v>
      </c>
      <c r="B11" s="3">
        <v>0</v>
      </c>
      <c r="C11" s="3">
        <v>0</v>
      </c>
      <c r="D11" s="3">
        <v>1</v>
      </c>
      <c r="E11" s="2">
        <f>SUMPRODUCT(B11:D11,$B$2:$D$2)</f>
        <v>2000</v>
      </c>
      <c r="F11" s="3">
        <v>2000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2026-09-02T23:49:03Z</dcterms:created>
  <dcterms:modified xsi:type="dcterms:W3CDTF">2026-09-16T23:34:12Z</dcterms:modified>
</cp:coreProperties>
</file>