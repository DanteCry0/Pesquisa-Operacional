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0FFE15FC-4F5B-46DC-A269-F7A3BC60044B}" xr6:coauthVersionLast="36" xr6:coauthVersionMax="36" xr10:uidLastSave="{00000000-0000-0000-0000-000000000000}"/>
  <bookViews>
    <workbookView xWindow="0" yWindow="0" windowWidth="28800" windowHeight="12105" xr2:uid="{759A8800-CD47-4849-AA2E-61C2ECE26B63}"/>
  </bookViews>
  <sheets>
    <sheet name="A1- Capitão Caverna" sheetId="3" r:id="rId1"/>
  </sheets>
  <definedNames>
    <definedName name="solver_adj" localSheetId="0" hidden="1">'A1- Capitão Caverna'!$B$3:$D$3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'A1- Capitão Caverna'!$E$10</definedName>
    <definedName name="solver_lhs2" localSheetId="0" hidden="1">'A1- Capitão Caverna'!$E$11</definedName>
    <definedName name="solver_lhs3" localSheetId="0" hidden="1">'A1- Capitão Caverna'!$E$12</definedName>
    <definedName name="solver_lhs4" localSheetId="0" hidden="1">'A1- Capitão Caverna'!$E$8</definedName>
    <definedName name="solver_lhs5" localSheetId="0" hidden="1">'A1- Capitão Caverna'!$E$9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'A1- Capitão Caverna'!$B$5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'A1- Capitão Caverna'!$F$10</definedName>
    <definedName name="solver_rhs2" localSheetId="0" hidden="1">'A1- Capitão Caverna'!$F$11</definedName>
    <definedName name="solver_rhs3" localSheetId="0" hidden="1">'A1- Capitão Caverna'!$F$12</definedName>
    <definedName name="solver_rhs4" localSheetId="0" hidden="1">'A1- Capitão Caverna'!$F$8</definedName>
    <definedName name="solver_rhs5" localSheetId="0" hidden="1">'A1- Capitão Caverna'!$F$9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E12" i="3"/>
  <c r="E11" i="3"/>
  <c r="E10" i="3"/>
  <c r="E9" i="3"/>
  <c r="B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3" authorId="0" shapeId="0" xr:uid="{3EDF226B-0269-4C56-8D21-9F4E5E748B86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4" authorId="0" shapeId="0" xr:uid="{6F69D88E-728E-4E39-A9F3-F941119DD547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7" authorId="0" shapeId="0" xr:uid="{EB4408F8-9A3F-4170-9D9D-BE8454E6763A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sharedStrings.xml><?xml version="1.0" encoding="utf-8"?>
<sst xmlns="http://schemas.openxmlformats.org/spreadsheetml/2006/main" count="20" uniqueCount="17">
  <si>
    <t>Quantidade:</t>
  </si>
  <si>
    <t>Seguir passo a passo do slide: Etapas na implementação do problema em uma planilha</t>
  </si>
  <si>
    <t>Lucro:</t>
  </si>
  <si>
    <t>Restrições</t>
  </si>
  <si>
    <t>Usado</t>
  </si>
  <si>
    <t>Disponível</t>
  </si>
  <si>
    <t>Dados &gt; Solver</t>
  </si>
  <si>
    <t>Variáveis:</t>
  </si>
  <si>
    <t>Função Objetivo:</t>
  </si>
  <si>
    <t>JANGADAS</t>
  </si>
  <si>
    <t>CANOAS</t>
  </si>
  <si>
    <t>ARCAS</t>
  </si>
  <si>
    <t>R2- MARU</t>
  </si>
  <si>
    <t xml:space="preserve">R3 - CAPITÃES </t>
  </si>
  <si>
    <t>R1- JANGADA</t>
  </si>
  <si>
    <t>R4- CANOAS</t>
  </si>
  <si>
    <t>R5 - ARCAS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</si>
</sst>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6100"/>
      <name val="Calibri"/>
      <family val="2"/>
      <scheme val="minor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0" fillId="2" borderId="1" xfId="0" applyFill="1" applyBorder="1"/>
    <xf numFmtId="165" fontId="4" fillId="3" borderId="1" xfId="1" applyNumberFormat="1" applyBorder="1"/>
    <xf numFmtId="0" fontId="5" fillId="0" borderId="0" xfId="0" applyFont="1"/>
    <xf numFmtId="165" fontId="0" fillId="0" borderId="1" xfId="0" applyNumberFormat="1" applyBorder="1"/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295276</xdr:colOff>
      <xdr:row>1</xdr:row>
      <xdr:rowOff>19050</xdr:rowOff>
    </xdr:from>
    <xdr:to>
      <xdr:col>9</xdr:col>
      <xdr:colOff>567759</xdr:colOff>
      <xdr:row>13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C33CE4-D180-44F2-BA02-0E05994A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1" y="209550"/>
          <a:ext cx="2101283" cy="248602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1</xdr:row>
      <xdr:rowOff>114300</xdr:rowOff>
    </xdr:from>
    <xdr:to>
      <xdr:col>19</xdr:col>
      <xdr:colOff>466725</xdr:colOff>
      <xdr:row>21</xdr:row>
      <xdr:rowOff>58157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10E078-F67E-4513-89BC-89DF982A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304800"/>
          <a:ext cx="5800725" cy="3801482"/>
        </a:xfrm>
        <a:prstGeom prst="rect">
          <a:avLst/>
        </a:prstGeom>
      </xdr:spPr>
    </xdr:pic>
    <xdr:clientData/>
  </xdr:twoCellAnchor>
  <xdr:twoCellAnchor editAs="oneCell">
    <xdr:from>
      <xdr:col>5</xdr:col>
      <xdr:colOff>510957</xdr:colOff>
      <xdr:row>2</xdr:row>
      <xdr:rowOff>34709</xdr:rowOff>
    </xdr:from>
    <xdr:to>
      <xdr:col>9</xdr:col>
      <xdr:colOff>549057</xdr:colOff>
      <xdr:row>15</xdr:row>
      <xdr:rowOff>139484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E2D06B4-0CE0-44BE-8335-612BBA4F3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187000">
          <a:off x="4749582" y="415709"/>
          <a:ext cx="2628900" cy="262890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16</xdr:row>
      <xdr:rowOff>0</xdr:rowOff>
    </xdr:from>
    <xdr:to>
      <xdr:col>5</xdr:col>
      <xdr:colOff>219075</xdr:colOff>
      <xdr:row>37</xdr:row>
      <xdr:rowOff>105573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2F2FA53-6A86-4B5A-8738-797DCDA4B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" y="3095625"/>
          <a:ext cx="3914775" cy="4106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5033-5588-4143-973F-157BA6CC2661}">
  <dimension ref="A2:L16"/>
  <sheetViews>
    <sheetView showGridLines="0" tabSelected="1" workbookViewId="0">
      <selection activeCell="H26" sqref="H26"/>
    </sheetView>
  </sheetViews>
  <sheetFormatPr defaultRowHeight="15" x14ac:dyDescent="0.25"/>
  <cols>
    <col min="1" max="1" width="16.7109375" customWidth="1"/>
    <col min="2" max="2" width="12.42578125" bestFit="1" customWidth="1"/>
    <col min="5" max="5" width="16.140625" customWidth="1"/>
    <col min="6" max="6" width="11.42578125" customWidth="1"/>
  </cols>
  <sheetData>
    <row r="2" spans="1:12" x14ac:dyDescent="0.25">
      <c r="A2" s="3" t="s">
        <v>7</v>
      </c>
      <c r="B2" s="4" t="s">
        <v>9</v>
      </c>
      <c r="C2" s="4" t="s">
        <v>10</v>
      </c>
      <c r="D2" s="4" t="s">
        <v>11</v>
      </c>
    </row>
    <row r="3" spans="1:12" x14ac:dyDescent="0.25">
      <c r="A3" s="3" t="s">
        <v>0</v>
      </c>
      <c r="B3" s="6">
        <v>4</v>
      </c>
      <c r="C3" s="6">
        <v>4</v>
      </c>
      <c r="D3" s="6">
        <v>2</v>
      </c>
    </row>
    <row r="4" spans="1:12" x14ac:dyDescent="0.25">
      <c r="A4" s="3" t="s">
        <v>2</v>
      </c>
      <c r="B4" s="9">
        <v>50</v>
      </c>
      <c r="C4" s="9">
        <v>70</v>
      </c>
      <c r="D4" s="9">
        <v>100</v>
      </c>
    </row>
    <row r="5" spans="1:12" x14ac:dyDescent="0.25">
      <c r="A5" s="3" t="s">
        <v>8</v>
      </c>
      <c r="B5" s="7">
        <f>B4*B3+C4*C3+D4*D3</f>
        <v>680</v>
      </c>
      <c r="C5" s="2"/>
      <c r="D5" s="2"/>
    </row>
    <row r="6" spans="1:12" ht="18.75" x14ac:dyDescent="0.3">
      <c r="L6" s="8"/>
    </row>
    <row r="7" spans="1:12" x14ac:dyDescent="0.25">
      <c r="A7" s="4" t="s">
        <v>3</v>
      </c>
      <c r="B7" s="4" t="s">
        <v>9</v>
      </c>
      <c r="C7" s="4" t="s">
        <v>10</v>
      </c>
      <c r="D7" s="4" t="s">
        <v>11</v>
      </c>
      <c r="E7" s="4" t="s">
        <v>4</v>
      </c>
      <c r="F7" s="4" t="s">
        <v>5</v>
      </c>
    </row>
    <row r="8" spans="1:12" x14ac:dyDescent="0.25">
      <c r="A8" s="3" t="s">
        <v>14</v>
      </c>
      <c r="B8" s="3">
        <v>1</v>
      </c>
      <c r="C8" s="3">
        <v>0</v>
      </c>
      <c r="D8" s="3">
        <v>0</v>
      </c>
      <c r="E8" s="6">
        <f>B8*B3</f>
        <v>4</v>
      </c>
      <c r="F8" s="2">
        <v>4</v>
      </c>
    </row>
    <row r="9" spans="1:12" x14ac:dyDescent="0.25">
      <c r="A9" s="3" t="s">
        <v>12</v>
      </c>
      <c r="B9" s="3">
        <v>1</v>
      </c>
      <c r="C9" s="3">
        <v>2</v>
      </c>
      <c r="D9" s="3">
        <v>3</v>
      </c>
      <c r="E9" s="6">
        <f>B9*B3+C9*C3+D9*D3</f>
        <v>18</v>
      </c>
      <c r="F9" s="5">
        <v>18</v>
      </c>
    </row>
    <row r="10" spans="1:12" x14ac:dyDescent="0.25">
      <c r="A10" s="3" t="s">
        <v>13</v>
      </c>
      <c r="B10" s="3">
        <v>1</v>
      </c>
      <c r="C10" s="3">
        <v>1</v>
      </c>
      <c r="D10" s="3">
        <v>1</v>
      </c>
      <c r="E10" s="6">
        <f>B10*B3+C10*C3+D10*D3</f>
        <v>10</v>
      </c>
      <c r="F10" s="2">
        <v>10</v>
      </c>
    </row>
    <row r="11" spans="1:12" x14ac:dyDescent="0.25">
      <c r="A11" s="3" t="s">
        <v>15</v>
      </c>
      <c r="B11" s="5">
        <v>0</v>
      </c>
      <c r="C11" s="5">
        <v>1</v>
      </c>
      <c r="D11" s="5">
        <v>0</v>
      </c>
      <c r="E11" s="6">
        <f>C11*C3</f>
        <v>4</v>
      </c>
      <c r="F11" s="5">
        <v>8</v>
      </c>
    </row>
    <row r="12" spans="1:12" x14ac:dyDescent="0.25">
      <c r="A12" s="3" t="s">
        <v>16</v>
      </c>
      <c r="B12" s="5">
        <v>0</v>
      </c>
      <c r="C12" s="5">
        <v>0</v>
      </c>
      <c r="D12" s="5">
        <v>1</v>
      </c>
      <c r="E12" s="6">
        <f>D12*D3</f>
        <v>2</v>
      </c>
      <c r="F12" s="5">
        <v>3</v>
      </c>
    </row>
    <row r="15" spans="1:12" x14ac:dyDescent="0.25">
      <c r="A15" s="1" t="s">
        <v>1</v>
      </c>
    </row>
    <row r="16" spans="1:12" x14ac:dyDescent="0.25">
      <c r="A16" t="s">
        <v>6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A1- Capitão Caverna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2026-09-02T23:49:03Z</dcterms:created>
  <dcterms:modified xsi:type="dcterms:W3CDTF">2026-09-09T23:19:16Z</dcterms:modified>
</cp:coreProperties>
</file>